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tístico" sheetId="1" state="visible" r:id="rId1"/>
    <sheet xmlns:r="http://schemas.openxmlformats.org/officeDocument/2006/relationships" name="Lanç. Estatístico" sheetId="2" state="visible" r:id="rId2"/>
    <sheet xmlns:r="http://schemas.openxmlformats.org/officeDocument/2006/relationships" name="Análise detalh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i val="1"/>
      <color rgb="007F7F7F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2" fillId="4" borderId="0" pivotButton="0" quotePrefix="0" xfId="0"/>
    <xf numFmtId="164" fontId="0" fillId="0" borderId="0" pivotButton="0" quotePrefix="0" xfId="0"/>
    <xf numFmtId="164" fontId="2" fillId="0" borderId="0" pivotButton="0" quotePrefix="0" xfId="0"/>
    <xf numFmtId="0" fontId="2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5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8" customWidth="1" min="4" max="4"/>
  </cols>
  <sheetData>
    <row r="2">
      <c r="B2" s="1" t="inlineStr">
        <is>
          <t>Estatístico — modelo de demonstração</t>
        </is>
      </c>
    </row>
    <row r="4">
      <c r="B4" s="2" t="inlineStr">
        <is>
          <t>Dia do mês</t>
        </is>
      </c>
      <c r="C4" s="3" t="n">
        <v>27</v>
      </c>
      <c r="D4" s="4" t="inlineStr">
        <is>
          <t>← o script só troca este número; o resto da aba é fórmula</t>
        </is>
      </c>
    </row>
    <row r="6">
      <c r="B6" s="5" t="inlineStr">
        <is>
          <t>Indicador</t>
        </is>
      </c>
      <c r="C6" s="5" t="inlineStr">
        <is>
          <t>Hoje</t>
        </is>
      </c>
      <c r="D6" s="5" t="inlineStr">
        <is>
          <t>Acumulado no mês</t>
        </is>
      </c>
    </row>
    <row r="7">
      <c r="B7" s="6" t="inlineStr">
        <is>
          <t>UH's no pool</t>
        </is>
      </c>
      <c r="C7" s="7">
        <f>INDEX('Lanç. Estatístico'!$B$5:$AF$5,$C$4)</f>
        <v/>
      </c>
      <c r="D7" s="7">
        <f>SUM(OFFSET('Lanç. Estatístico'!$B$5,0,0,1,$C$4))</f>
        <v/>
      </c>
    </row>
    <row r="8">
      <c r="B8" s="6" t="inlineStr">
        <is>
          <t>UH's ocupadas</t>
        </is>
      </c>
      <c r="C8" s="7">
        <f>INDEX('Lanç. Estatístico'!$B$9:$AF$9,$C$4)</f>
        <v/>
      </c>
      <c r="D8" s="7">
        <f>SUM(OFFSET('Lanç. Estatístico'!$B$9,0,0,1,$C$4))</f>
        <v/>
      </c>
    </row>
    <row r="9">
      <c r="B9" s="6" t="inlineStr">
        <is>
          <t>Ocupação</t>
        </is>
      </c>
      <c r="C9" s="8">
        <f>IF(C7=0,0,C8/C7)</f>
        <v/>
      </c>
      <c r="D9" s="8">
        <f>IF(D7=0,0,D8/D7)</f>
        <v/>
      </c>
    </row>
    <row r="10">
      <c r="B10" s="6" t="inlineStr">
        <is>
          <t>Receita de hospedagem</t>
        </is>
      </c>
      <c r="C10" s="9">
        <f>SUM(INDEX('Lanç. Estatístico'!$B$17:$AF$24,0,$C$4))</f>
        <v/>
      </c>
      <c r="D10" s="9">
        <f>SUM(OFFSET('Lanç. Estatístico'!$B$17,0,0,8,$C$4))</f>
        <v/>
      </c>
    </row>
    <row r="11">
      <c r="B11" s="6" t="inlineStr">
        <is>
          <t>Diária média</t>
        </is>
      </c>
      <c r="C11" s="9">
        <f>IF(C8=0,0,C10/C8)</f>
        <v/>
      </c>
      <c r="D11" s="9">
        <f>IF(D8=0,0,D10/D8)</f>
        <v/>
      </c>
    </row>
    <row r="12">
      <c r="B12" s="6" t="inlineStr">
        <is>
          <t>RevPAR</t>
        </is>
      </c>
      <c r="C12" s="9">
        <f>IF(C7=0,0,C10/C7)</f>
        <v/>
      </c>
      <c r="D12" s="9">
        <f>IF(D7=0,0,D10/D7)</f>
        <v/>
      </c>
    </row>
    <row r="13">
      <c r="B13" s="6" t="inlineStr">
        <is>
          <t>Receita total</t>
        </is>
      </c>
      <c r="C13" s="9">
        <f>SUM(INDEX('Lanç. Estatístico'!$B$17:$AF$40,0,$C$4))</f>
        <v/>
      </c>
      <c r="D13" s="9">
        <f>SUM(OFFSET('Lanç. Estatístico'!$B$17,0,0,24,$C$4))</f>
        <v/>
      </c>
    </row>
    <row r="15">
      <c r="B15" s="4" t="inlineStr">
        <is>
          <t>Dados 100% fictícios, gerados por exemplos/gerar_exemplos.py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9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1" t="inlineStr">
        <is>
          <t>Lançamentos do mês — dia N fica na coluna N+1 (B = dia 1)</t>
        </is>
      </c>
    </row>
    <row r="3">
      <c r="A3" s="5" t="inlineStr">
        <is>
          <t>Indicador</t>
        </is>
      </c>
      <c r="B3" s="5" t="n">
        <v>1</v>
      </c>
      <c r="C3" s="5" t="n">
        <v>2</v>
      </c>
      <c r="D3" s="5" t="n">
        <v>3</v>
      </c>
      <c r="E3" s="5" t="n">
        <v>4</v>
      </c>
      <c r="F3" s="5" t="n">
        <v>5</v>
      </c>
      <c r="G3" s="5" t="n">
        <v>6</v>
      </c>
      <c r="H3" s="5" t="n">
        <v>7</v>
      </c>
      <c r="I3" s="5" t="n">
        <v>8</v>
      </c>
      <c r="J3" s="5" t="n">
        <v>9</v>
      </c>
      <c r="K3" s="5" t="n">
        <v>10</v>
      </c>
      <c r="L3" s="5" t="n">
        <v>11</v>
      </c>
      <c r="M3" s="5" t="n">
        <v>12</v>
      </c>
      <c r="N3" s="5" t="n">
        <v>13</v>
      </c>
      <c r="O3" s="5" t="n">
        <v>14</v>
      </c>
      <c r="P3" s="5" t="n">
        <v>15</v>
      </c>
      <c r="Q3" s="5" t="n">
        <v>16</v>
      </c>
      <c r="R3" s="5" t="n">
        <v>17</v>
      </c>
      <c r="S3" s="5" t="n">
        <v>18</v>
      </c>
      <c r="T3" s="5" t="n">
        <v>19</v>
      </c>
      <c r="U3" s="5" t="n">
        <v>20</v>
      </c>
      <c r="V3" s="5" t="n">
        <v>21</v>
      </c>
      <c r="W3" s="5" t="n">
        <v>22</v>
      </c>
      <c r="X3" s="5" t="n">
        <v>23</v>
      </c>
      <c r="Y3" s="5" t="n">
        <v>24</v>
      </c>
      <c r="Z3" s="5" t="n">
        <v>25</v>
      </c>
      <c r="AA3" s="5" t="n">
        <v>26</v>
      </c>
      <c r="AB3" s="5" t="n">
        <v>27</v>
      </c>
      <c r="AC3" s="5" t="n">
        <v>28</v>
      </c>
      <c r="AD3" s="5" t="n">
        <v>29</v>
      </c>
      <c r="AE3" s="5" t="n">
        <v>30</v>
      </c>
      <c r="AF3" s="5" t="n">
        <v>31</v>
      </c>
    </row>
    <row r="4">
      <c r="A4" s="10" t="inlineStr">
        <is>
          <t>ESTATÍSTICAS</t>
        </is>
      </c>
    </row>
    <row r="5">
      <c r="A5" s="6" t="inlineStr">
        <is>
          <t>UH's no pool</t>
        </is>
      </c>
      <c r="B5" t="n">
        <v>40</v>
      </c>
      <c r="C5" t="n">
        <v>40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  <c r="N5" t="n">
        <v>40</v>
      </c>
      <c r="O5" t="n">
        <v>40</v>
      </c>
      <c r="P5" t="n">
        <v>40</v>
      </c>
      <c r="Q5" t="n">
        <v>40</v>
      </c>
      <c r="R5" t="n">
        <v>40</v>
      </c>
      <c r="S5" t="n">
        <v>40</v>
      </c>
      <c r="T5" t="n">
        <v>40</v>
      </c>
      <c r="U5" t="n">
        <v>40</v>
      </c>
      <c r="V5" t="n">
        <v>40</v>
      </c>
      <c r="W5" t="n">
        <v>40</v>
      </c>
      <c r="X5" t="n">
        <v>40</v>
      </c>
      <c r="Y5" t="n">
        <v>40</v>
      </c>
      <c r="Z5" t="n">
        <v>40</v>
      </c>
      <c r="AA5" t="n">
        <v>40</v>
      </c>
      <c r="AB5" t="n">
        <v>40</v>
      </c>
    </row>
    <row r="6">
      <c r="A6" s="6" t="inlineStr">
        <is>
          <t>UH's em manutenção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s="6" t="inlineStr">
        <is>
          <t>UH's bloqueadas</t>
        </is>
      </c>
      <c r="B7" t="n">
        <v>1</v>
      </c>
      <c r="C7" t="n">
        <v>1</v>
      </c>
      <c r="D7" t="n">
        <v>1</v>
      </c>
      <c r="E7" t="n">
        <v>2</v>
      </c>
      <c r="F7" t="n">
        <v>0</v>
      </c>
      <c r="G7" t="n">
        <v>2</v>
      </c>
      <c r="H7" t="n">
        <v>2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2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2</v>
      </c>
      <c r="V7" t="n">
        <v>0</v>
      </c>
      <c r="W7" t="n">
        <v>1</v>
      </c>
      <c r="X7" t="n">
        <v>0</v>
      </c>
      <c r="Y7" t="n">
        <v>2</v>
      </c>
      <c r="Z7" t="n">
        <v>0</v>
      </c>
      <c r="AA7" t="n">
        <v>0</v>
      </c>
      <c r="AB7" t="n">
        <v>1</v>
      </c>
    </row>
    <row r="8">
      <c r="A8" s="6" t="inlineStr">
        <is>
          <t>UH's uso da casa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1</v>
      </c>
    </row>
    <row r="9">
      <c r="A9" s="6" t="inlineStr">
        <is>
          <t>UH's ocupadas</t>
        </is>
      </c>
      <c r="B9" t="n">
        <v>29</v>
      </c>
      <c r="C9" t="n">
        <v>31</v>
      </c>
      <c r="D9" t="n">
        <v>28</v>
      </c>
      <c r="E9" t="n">
        <v>35</v>
      </c>
      <c r="F9" t="n">
        <v>25</v>
      </c>
      <c r="G9" t="n">
        <v>22</v>
      </c>
      <c r="H9" t="n">
        <v>27</v>
      </c>
      <c r="I9" t="n">
        <v>29</v>
      </c>
      <c r="J9" t="n">
        <v>29</v>
      </c>
      <c r="K9" t="n">
        <v>26</v>
      </c>
      <c r="L9" t="n">
        <v>32</v>
      </c>
      <c r="M9" t="n">
        <v>23</v>
      </c>
      <c r="N9" t="n">
        <v>34</v>
      </c>
      <c r="O9" t="n">
        <v>31</v>
      </c>
      <c r="P9" t="n">
        <v>27</v>
      </c>
      <c r="Q9" t="n">
        <v>30</v>
      </c>
      <c r="R9" t="n">
        <v>36</v>
      </c>
      <c r="S9" t="n">
        <v>32</v>
      </c>
      <c r="T9" t="n">
        <v>35</v>
      </c>
      <c r="U9" t="n">
        <v>25</v>
      </c>
      <c r="V9" t="n">
        <v>33</v>
      </c>
      <c r="W9" t="n">
        <v>25</v>
      </c>
      <c r="X9" t="n">
        <v>34</v>
      </c>
      <c r="Y9" t="n">
        <v>32</v>
      </c>
      <c r="Z9" t="n">
        <v>28</v>
      </c>
      <c r="AA9" t="n">
        <v>24</v>
      </c>
      <c r="AB9" t="n">
        <v>23</v>
      </c>
    </row>
    <row r="10">
      <c r="A10" s="6" t="inlineStr">
        <is>
          <t>Mensalistas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s="6" t="inlineStr">
        <is>
          <t>Cortesia + permuta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</row>
    <row r="12">
      <c r="A12" s="6" t="inlineStr">
        <is>
          <t>Walk-ins</t>
        </is>
      </c>
      <c r="B12" t="n">
        <v>3</v>
      </c>
      <c r="C12" t="n">
        <v>3</v>
      </c>
      <c r="D12" t="n">
        <v>3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3</v>
      </c>
      <c r="K12" t="n">
        <v>2</v>
      </c>
      <c r="L12" t="n">
        <v>1</v>
      </c>
      <c r="M12" t="n">
        <v>0</v>
      </c>
      <c r="N12" t="n">
        <v>0</v>
      </c>
      <c r="O12" t="n">
        <v>1</v>
      </c>
      <c r="P12" t="n">
        <v>3</v>
      </c>
      <c r="Q12" t="n">
        <v>3</v>
      </c>
      <c r="R12" t="n">
        <v>3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2</v>
      </c>
      <c r="Y12" t="n">
        <v>0</v>
      </c>
      <c r="Z12" t="n">
        <v>3</v>
      </c>
      <c r="AA12" t="n">
        <v>1</v>
      </c>
      <c r="AB12" t="n">
        <v>3</v>
      </c>
    </row>
    <row r="13">
      <c r="A13" s="6" t="inlineStr">
        <is>
          <t>Hóspedes adultos</t>
        </is>
      </c>
      <c r="B13" t="n">
        <v>48</v>
      </c>
      <c r="C13" t="n">
        <v>51</v>
      </c>
      <c r="D13" t="n">
        <v>45</v>
      </c>
      <c r="E13" t="n">
        <v>53</v>
      </c>
      <c r="F13" t="n">
        <v>44</v>
      </c>
      <c r="G13" t="n">
        <v>34</v>
      </c>
      <c r="H13" t="n">
        <v>46</v>
      </c>
      <c r="I13" t="n">
        <v>48</v>
      </c>
      <c r="J13" t="n">
        <v>46</v>
      </c>
      <c r="K13" t="n">
        <v>39</v>
      </c>
      <c r="L13" t="n">
        <v>49</v>
      </c>
      <c r="M13" t="n">
        <v>36</v>
      </c>
      <c r="N13" t="n">
        <v>56</v>
      </c>
      <c r="O13" t="n">
        <v>56</v>
      </c>
      <c r="P13" t="n">
        <v>41</v>
      </c>
      <c r="Q13" t="n">
        <v>54</v>
      </c>
      <c r="R13" t="n">
        <v>63</v>
      </c>
      <c r="S13" t="n">
        <v>53</v>
      </c>
      <c r="T13" t="n">
        <v>59</v>
      </c>
      <c r="U13" t="n">
        <v>38</v>
      </c>
      <c r="V13" t="n">
        <v>52</v>
      </c>
      <c r="W13" t="n">
        <v>40</v>
      </c>
      <c r="X13" t="n">
        <v>52</v>
      </c>
      <c r="Y13" t="n">
        <v>49</v>
      </c>
      <c r="Z13" t="n">
        <v>46</v>
      </c>
      <c r="AA13" t="n">
        <v>38</v>
      </c>
      <c r="AB13" t="n">
        <v>38</v>
      </c>
    </row>
    <row r="14">
      <c r="A14" s="6" t="inlineStr">
        <is>
          <t>Hóspedes crianças</t>
        </is>
      </c>
      <c r="B14" t="n">
        <v>1</v>
      </c>
      <c r="C14" t="n">
        <v>1</v>
      </c>
      <c r="D14" t="n">
        <v>4</v>
      </c>
      <c r="E14" t="n">
        <v>3</v>
      </c>
      <c r="F14" t="n">
        <v>4</v>
      </c>
      <c r="G14" t="n">
        <v>1</v>
      </c>
      <c r="H14" t="n">
        <v>2</v>
      </c>
      <c r="I14" t="n">
        <v>1</v>
      </c>
      <c r="J14" t="n">
        <v>2</v>
      </c>
      <c r="K14" t="n">
        <v>0</v>
      </c>
      <c r="L14" t="n">
        <v>3</v>
      </c>
      <c r="M14" t="n">
        <v>2</v>
      </c>
      <c r="N14" t="n">
        <v>2</v>
      </c>
      <c r="O14" t="n">
        <v>3</v>
      </c>
      <c r="P14" t="n">
        <v>4</v>
      </c>
      <c r="Q14" t="n">
        <v>1</v>
      </c>
      <c r="R14" t="n">
        <v>3</v>
      </c>
      <c r="S14" t="n">
        <v>4</v>
      </c>
      <c r="T14" t="n">
        <v>1</v>
      </c>
      <c r="U14" t="n">
        <v>3</v>
      </c>
      <c r="V14" t="n">
        <v>4</v>
      </c>
      <c r="W14" t="n">
        <v>3</v>
      </c>
      <c r="X14" t="n">
        <v>3</v>
      </c>
      <c r="Y14" t="n">
        <v>0</v>
      </c>
      <c r="Z14" t="n">
        <v>1</v>
      </c>
      <c r="AA14" t="n">
        <v>1</v>
      </c>
      <c r="AB14" t="n">
        <v>4</v>
      </c>
    </row>
    <row r="16">
      <c r="A16" s="10" t="inlineStr">
        <is>
          <t>RECEITAS</t>
        </is>
      </c>
    </row>
    <row r="17">
      <c r="A17" s="6" t="inlineStr">
        <is>
          <t>Diárias</t>
        </is>
      </c>
      <c r="B17" s="11" t="n">
        <v>8514.98</v>
      </c>
      <c r="C17" s="11" t="n">
        <v>9449.59</v>
      </c>
      <c r="D17" s="11" t="n">
        <v>7789.56</v>
      </c>
      <c r="E17" s="11" t="n">
        <v>9999.73</v>
      </c>
      <c r="F17" s="11" t="n">
        <v>7393.95</v>
      </c>
      <c r="G17" s="11" t="n">
        <v>6843.95</v>
      </c>
      <c r="H17" s="11" t="n">
        <v>7963.84</v>
      </c>
      <c r="I17" s="11" t="n">
        <v>7878.33</v>
      </c>
      <c r="J17" s="11" t="n">
        <v>8422.790000000001</v>
      </c>
      <c r="K17" s="11" t="n">
        <v>7085.3</v>
      </c>
      <c r="L17" s="11" t="n">
        <v>9528.15</v>
      </c>
      <c r="M17" s="11" t="n">
        <v>6178.01</v>
      </c>
      <c r="N17" s="11" t="n">
        <v>9415.23</v>
      </c>
      <c r="O17" s="11" t="n">
        <v>8128.6</v>
      </c>
      <c r="P17" s="11" t="n">
        <v>7394.81</v>
      </c>
      <c r="Q17" s="11" t="n">
        <v>7822.56</v>
      </c>
      <c r="R17" s="11" t="n">
        <v>10919.68</v>
      </c>
      <c r="S17" s="11" t="n">
        <v>9714.610000000001</v>
      </c>
      <c r="T17" s="11" t="n">
        <v>10398.14</v>
      </c>
      <c r="U17" s="11" t="n">
        <v>7230.35</v>
      </c>
      <c r="V17" s="11" t="n">
        <v>9033.93</v>
      </c>
      <c r="W17" s="11" t="n">
        <v>7375.35</v>
      </c>
      <c r="X17" s="11" t="n">
        <v>9055.370000000001</v>
      </c>
      <c r="Y17" s="11" t="n">
        <v>8431.26</v>
      </c>
      <c r="Z17" s="11" t="n">
        <v>8726.139999999999</v>
      </c>
      <c r="AA17" s="11" t="n">
        <v>7278.81</v>
      </c>
      <c r="AB17" s="11" t="n">
        <v>6923.27</v>
      </c>
      <c r="AC17" s="11" t="n"/>
      <c r="AD17" s="11" t="n"/>
      <c r="AE17" s="11" t="n"/>
      <c r="AF17" s="11" t="n"/>
    </row>
    <row r="18">
      <c r="A18" s="6" t="inlineStr">
        <is>
          <t>Diárias - outras</t>
        </is>
      </c>
      <c r="B18" s="11" t="n">
        <v>0</v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/>
      <c r="AD18" s="11" t="n"/>
      <c r="AE18" s="11" t="n"/>
      <c r="AF18" s="11" t="n"/>
    </row>
    <row r="19">
      <c r="A19" s="6" t="inlineStr">
        <is>
          <t>Early check-in</t>
        </is>
      </c>
      <c r="B19" s="11" t="n">
        <v>0</v>
      </c>
      <c r="C19" s="11" t="n">
        <v>120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120</v>
      </c>
      <c r="I19" s="11" t="n">
        <v>0</v>
      </c>
      <c r="J19" s="11" t="n">
        <v>0</v>
      </c>
      <c r="K19" s="11" t="n">
        <v>120</v>
      </c>
      <c r="L19" s="11" t="n">
        <v>0</v>
      </c>
      <c r="M19" s="11" t="n">
        <v>120</v>
      </c>
      <c r="N19" s="11" t="n">
        <v>120</v>
      </c>
      <c r="O19" s="11" t="n">
        <v>120</v>
      </c>
      <c r="P19" s="11" t="n">
        <v>120</v>
      </c>
      <c r="Q19" s="11" t="n">
        <v>120</v>
      </c>
      <c r="R19" s="11" t="n">
        <v>120</v>
      </c>
      <c r="S19" s="11" t="n">
        <v>120</v>
      </c>
      <c r="T19" s="11" t="n">
        <v>120</v>
      </c>
      <c r="U19" s="11" t="n">
        <v>0</v>
      </c>
      <c r="V19" s="11" t="n">
        <v>120</v>
      </c>
      <c r="W19" s="11" t="n">
        <v>0</v>
      </c>
      <c r="X19" s="11" t="n">
        <v>0</v>
      </c>
      <c r="Y19" s="11" t="n">
        <v>120</v>
      </c>
      <c r="Z19" s="11" t="n">
        <v>120</v>
      </c>
      <c r="AA19" s="11" t="n">
        <v>0</v>
      </c>
      <c r="AB19" s="11" t="n">
        <v>0</v>
      </c>
      <c r="AC19" s="11" t="n"/>
      <c r="AD19" s="11" t="n"/>
      <c r="AE19" s="11" t="n"/>
      <c r="AF19" s="11" t="n"/>
    </row>
    <row r="20">
      <c r="A20" s="6" t="inlineStr">
        <is>
          <t>Late check-out</t>
        </is>
      </c>
      <c r="B20" s="11" t="n">
        <v>0</v>
      </c>
      <c r="C20" s="11" t="n">
        <v>90</v>
      </c>
      <c r="D20" s="11" t="n">
        <v>90</v>
      </c>
      <c r="E20" s="11" t="n">
        <v>90</v>
      </c>
      <c r="F20" s="11" t="n">
        <v>0</v>
      </c>
      <c r="G20" s="11" t="n">
        <v>90</v>
      </c>
      <c r="H20" s="11" t="n">
        <v>90</v>
      </c>
      <c r="I20" s="11" t="n">
        <v>0</v>
      </c>
      <c r="J20" s="11" t="n">
        <v>0</v>
      </c>
      <c r="K20" s="11" t="n">
        <v>0</v>
      </c>
      <c r="L20" s="11" t="n">
        <v>90</v>
      </c>
      <c r="M20" s="11" t="n">
        <v>0</v>
      </c>
      <c r="N20" s="11" t="n">
        <v>90</v>
      </c>
      <c r="O20" s="11" t="n">
        <v>0</v>
      </c>
      <c r="P20" s="11" t="n">
        <v>90</v>
      </c>
      <c r="Q20" s="11" t="n">
        <v>90</v>
      </c>
      <c r="R20" s="11" t="n">
        <v>90</v>
      </c>
      <c r="S20" s="11" t="n">
        <v>0</v>
      </c>
      <c r="T20" s="11" t="n">
        <v>0</v>
      </c>
      <c r="U20" s="11" t="n">
        <v>90</v>
      </c>
      <c r="V20" s="11" t="n">
        <v>90</v>
      </c>
      <c r="W20" s="11" t="n">
        <v>90</v>
      </c>
      <c r="X20" s="11" t="n">
        <v>90</v>
      </c>
      <c r="Y20" s="11" t="n">
        <v>90</v>
      </c>
      <c r="Z20" s="11" t="n">
        <v>0</v>
      </c>
      <c r="AA20" s="11" t="n">
        <v>90</v>
      </c>
      <c r="AB20" s="11" t="n">
        <v>90</v>
      </c>
      <c r="AC20" s="11" t="n"/>
      <c r="AD20" s="11" t="n"/>
      <c r="AE20" s="11" t="n"/>
      <c r="AF20" s="11" t="n"/>
    </row>
    <row r="21">
      <c r="A21" s="6" t="inlineStr">
        <is>
          <t>Day use</t>
        </is>
      </c>
      <c r="B21" s="11" t="n">
        <v>0</v>
      </c>
      <c r="C21" s="11" t="n">
        <v>260</v>
      </c>
      <c r="D21" s="11" t="n">
        <v>130</v>
      </c>
      <c r="E21" s="11" t="n">
        <v>0</v>
      </c>
      <c r="F21" s="11" t="n">
        <v>0</v>
      </c>
      <c r="G21" s="11" t="n">
        <v>260</v>
      </c>
      <c r="H21" s="11" t="n">
        <v>130</v>
      </c>
      <c r="I21" s="11" t="n">
        <v>260</v>
      </c>
      <c r="J21" s="11" t="n">
        <v>260</v>
      </c>
      <c r="K21" s="11" t="n">
        <v>260</v>
      </c>
      <c r="L21" s="11" t="n">
        <v>130</v>
      </c>
      <c r="M21" s="11" t="n">
        <v>260</v>
      </c>
      <c r="N21" s="11" t="n">
        <v>260</v>
      </c>
      <c r="O21" s="11" t="n">
        <v>130</v>
      </c>
      <c r="P21" s="11" t="n">
        <v>260</v>
      </c>
      <c r="Q21" s="11" t="n">
        <v>260</v>
      </c>
      <c r="R21" s="11" t="n">
        <v>130</v>
      </c>
      <c r="S21" s="11" t="n">
        <v>130</v>
      </c>
      <c r="T21" s="11" t="n">
        <v>260</v>
      </c>
      <c r="U21" s="11" t="n">
        <v>260</v>
      </c>
      <c r="V21" s="11" t="n">
        <v>260</v>
      </c>
      <c r="W21" s="11" t="n">
        <v>260</v>
      </c>
      <c r="X21" s="11" t="n">
        <v>260</v>
      </c>
      <c r="Y21" s="11" t="n">
        <v>0</v>
      </c>
      <c r="Z21" s="11" t="n">
        <v>260</v>
      </c>
      <c r="AA21" s="11" t="n">
        <v>0</v>
      </c>
      <c r="AB21" s="11" t="n">
        <v>130</v>
      </c>
      <c r="AC21" s="11" t="n"/>
      <c r="AD21" s="11" t="n"/>
      <c r="AE21" s="11" t="n"/>
      <c r="AF21" s="11" t="n"/>
    </row>
    <row r="22">
      <c r="A22" s="6" t="inlineStr">
        <is>
          <t>No show</t>
        </is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289</v>
      </c>
      <c r="H22" s="11" t="n">
        <v>289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289</v>
      </c>
      <c r="O22" s="11" t="n">
        <v>0</v>
      </c>
      <c r="P22" s="11" t="n">
        <v>0</v>
      </c>
      <c r="Q22" s="11" t="n">
        <v>289</v>
      </c>
      <c r="R22" s="11" t="n">
        <v>289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11" t="n">
        <v>0</v>
      </c>
      <c r="Z22" s="11" t="n">
        <v>0</v>
      </c>
      <c r="AA22" s="11" t="n">
        <v>0</v>
      </c>
      <c r="AB22" s="11" t="n">
        <v>289</v>
      </c>
      <c r="AC22" s="11" t="n"/>
      <c r="AD22" s="11" t="n"/>
      <c r="AE22" s="11" t="n"/>
      <c r="AF22" s="11" t="n"/>
    </row>
    <row r="23">
      <c r="A23" s="6" t="inlineStr">
        <is>
          <t>Estornos (hospedagem)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-150</v>
      </c>
      <c r="G23" s="11" t="n">
        <v>0</v>
      </c>
      <c r="H23" s="11" t="n">
        <v>-150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-150</v>
      </c>
      <c r="S23" s="11" t="n">
        <v>-150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-150</v>
      </c>
      <c r="AA23" s="11" t="n">
        <v>-150</v>
      </c>
      <c r="AB23" s="11" t="n">
        <v>0</v>
      </c>
      <c r="AC23" s="11" t="n"/>
      <c r="AD23" s="11" t="n"/>
      <c r="AE23" s="11" t="n"/>
      <c r="AF23" s="11" t="n"/>
    </row>
    <row r="24">
      <c r="A24" s="6" t="inlineStr">
        <is>
          <t>Mensalista</t>
        </is>
      </c>
      <c r="B24" s="11" t="n">
        <v>210</v>
      </c>
      <c r="C24" s="11" t="n">
        <v>210</v>
      </c>
      <c r="D24" s="11" t="n">
        <v>210</v>
      </c>
      <c r="E24" s="11" t="n">
        <v>210</v>
      </c>
      <c r="F24" s="11" t="n">
        <v>210</v>
      </c>
      <c r="G24" s="11" t="n">
        <v>210</v>
      </c>
      <c r="H24" s="11" t="n">
        <v>210</v>
      </c>
      <c r="I24" s="11" t="n">
        <v>210</v>
      </c>
      <c r="J24" s="11" t="n">
        <v>210</v>
      </c>
      <c r="K24" s="11" t="n">
        <v>210</v>
      </c>
      <c r="L24" s="11" t="n">
        <v>210</v>
      </c>
      <c r="M24" s="11" t="n">
        <v>210</v>
      </c>
      <c r="N24" s="11" t="n">
        <v>210</v>
      </c>
      <c r="O24" s="11" t="n">
        <v>210</v>
      </c>
      <c r="P24" s="11" t="n">
        <v>210</v>
      </c>
      <c r="Q24" s="11" t="n">
        <v>210</v>
      </c>
      <c r="R24" s="11" t="n">
        <v>210</v>
      </c>
      <c r="S24" s="11" t="n">
        <v>210</v>
      </c>
      <c r="T24" s="11" t="n">
        <v>210</v>
      </c>
      <c r="U24" s="11" t="n">
        <v>210</v>
      </c>
      <c r="V24" s="11" t="n">
        <v>210</v>
      </c>
      <c r="W24" s="11" t="n">
        <v>210</v>
      </c>
      <c r="X24" s="11" t="n">
        <v>210</v>
      </c>
      <c r="Y24" s="11" t="n">
        <v>210</v>
      </c>
      <c r="Z24" s="11" t="n">
        <v>210</v>
      </c>
      <c r="AA24" s="11" t="n">
        <v>210</v>
      </c>
      <c r="AB24" s="11" t="n">
        <v>210</v>
      </c>
      <c r="AC24" s="11" t="n"/>
      <c r="AD24" s="11" t="n"/>
      <c r="AE24" s="11" t="n"/>
      <c r="AF24" s="11" t="n"/>
    </row>
    <row r="25">
      <c r="A25" s="6" t="inlineStr">
        <is>
          <t>Taxa de ISS</t>
        </is>
      </c>
      <c r="B25" s="11" t="n">
        <v>425.75</v>
      </c>
      <c r="C25" s="11" t="n">
        <v>472.48</v>
      </c>
      <c r="D25" s="11" t="n">
        <v>389.48</v>
      </c>
      <c r="E25" s="11" t="n">
        <v>499.99</v>
      </c>
      <c r="F25" s="11" t="n">
        <v>369.7</v>
      </c>
      <c r="G25" s="11" t="n">
        <v>342.2</v>
      </c>
      <c r="H25" s="11" t="n">
        <v>398.19</v>
      </c>
      <c r="I25" s="11" t="n">
        <v>393.92</v>
      </c>
      <c r="J25" s="11" t="n">
        <v>421.14</v>
      </c>
      <c r="K25" s="11" t="n">
        <v>354.27</v>
      </c>
      <c r="L25" s="11" t="n">
        <v>476.41</v>
      </c>
      <c r="M25" s="11" t="n">
        <v>308.9</v>
      </c>
      <c r="N25" s="11" t="n">
        <v>470.76</v>
      </c>
      <c r="O25" s="11" t="n">
        <v>406.43</v>
      </c>
      <c r="P25" s="11" t="n">
        <v>369.74</v>
      </c>
      <c r="Q25" s="11" t="n">
        <v>391.13</v>
      </c>
      <c r="R25" s="11" t="n">
        <v>545.98</v>
      </c>
      <c r="S25" s="11" t="n">
        <v>485.73</v>
      </c>
      <c r="T25" s="11" t="n">
        <v>519.91</v>
      </c>
      <c r="U25" s="11" t="n">
        <v>361.52</v>
      </c>
      <c r="V25" s="11" t="n">
        <v>451.7</v>
      </c>
      <c r="W25" s="11" t="n">
        <v>368.77</v>
      </c>
      <c r="X25" s="11" t="n">
        <v>452.77</v>
      </c>
      <c r="Y25" s="11" t="n">
        <v>421.56</v>
      </c>
      <c r="Z25" s="11" t="n">
        <v>436.31</v>
      </c>
      <c r="AA25" s="11" t="n">
        <v>363.94</v>
      </c>
      <c r="AB25" s="11" t="n">
        <v>346.16</v>
      </c>
      <c r="AC25" s="11" t="n"/>
      <c r="AD25" s="11" t="n"/>
      <c r="AE25" s="11" t="n"/>
      <c r="AF25" s="11" t="n"/>
    </row>
    <row r="26">
      <c r="A26" s="6" t="inlineStr">
        <is>
          <t>Taxa de serviço</t>
        </is>
      </c>
      <c r="B26" s="11" t="n">
        <v>851.5</v>
      </c>
      <c r="C26" s="11" t="n">
        <v>944.96</v>
      </c>
      <c r="D26" s="11" t="n">
        <v>778.96</v>
      </c>
      <c r="E26" s="11" t="n">
        <v>999.97</v>
      </c>
      <c r="F26" s="11" t="n">
        <v>739.39</v>
      </c>
      <c r="G26" s="11" t="n">
        <v>684.39</v>
      </c>
      <c r="H26" s="11" t="n">
        <v>796.38</v>
      </c>
      <c r="I26" s="11" t="n">
        <v>787.83</v>
      </c>
      <c r="J26" s="11" t="n">
        <v>842.28</v>
      </c>
      <c r="K26" s="11" t="n">
        <v>708.53</v>
      </c>
      <c r="L26" s="11" t="n">
        <v>952.8200000000001</v>
      </c>
      <c r="M26" s="11" t="n">
        <v>617.8</v>
      </c>
      <c r="N26" s="11" t="n">
        <v>941.52</v>
      </c>
      <c r="O26" s="11" t="n">
        <v>812.86</v>
      </c>
      <c r="P26" s="11" t="n">
        <v>739.48</v>
      </c>
      <c r="Q26" s="11" t="n">
        <v>782.26</v>
      </c>
      <c r="R26" s="11" t="n">
        <v>1091.97</v>
      </c>
      <c r="S26" s="11" t="n">
        <v>971.46</v>
      </c>
      <c r="T26" s="11" t="n">
        <v>1039.81</v>
      </c>
      <c r="U26" s="11" t="n">
        <v>723.04</v>
      </c>
      <c r="V26" s="11" t="n">
        <v>903.39</v>
      </c>
      <c r="W26" s="11" t="n">
        <v>737.54</v>
      </c>
      <c r="X26" s="11" t="n">
        <v>905.54</v>
      </c>
      <c r="Y26" s="11" t="n">
        <v>843.13</v>
      </c>
      <c r="Z26" s="11" t="n">
        <v>872.61</v>
      </c>
      <c r="AA26" s="11" t="n">
        <v>727.88</v>
      </c>
      <c r="AB26" s="11" t="n">
        <v>692.33</v>
      </c>
      <c r="AC26" s="11" t="n"/>
      <c r="AD26" s="11" t="n"/>
      <c r="AE26" s="11" t="n"/>
      <c r="AF26" s="11" t="n"/>
    </row>
    <row r="27">
      <c r="A27" s="6" t="inlineStr">
        <is>
          <t>Telefonia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/>
      <c r="AD27" s="11" t="n"/>
      <c r="AE27" s="11" t="n"/>
      <c r="AF27" s="11" t="n"/>
    </row>
    <row r="28">
      <c r="A28" s="6" t="inlineStr">
        <is>
          <t>Taxa de turismo</t>
        </is>
      </c>
      <c r="B28" s="11" t="n">
        <v>58</v>
      </c>
      <c r="C28" s="11" t="n">
        <v>62</v>
      </c>
      <c r="D28" s="11" t="n">
        <v>56</v>
      </c>
      <c r="E28" s="11" t="n">
        <v>70</v>
      </c>
      <c r="F28" s="11" t="n">
        <v>50</v>
      </c>
      <c r="G28" s="11" t="n">
        <v>44</v>
      </c>
      <c r="H28" s="11" t="n">
        <v>54</v>
      </c>
      <c r="I28" s="11" t="n">
        <v>58</v>
      </c>
      <c r="J28" s="11" t="n">
        <v>58</v>
      </c>
      <c r="K28" s="11" t="n">
        <v>52</v>
      </c>
      <c r="L28" s="11" t="n">
        <v>64</v>
      </c>
      <c r="M28" s="11" t="n">
        <v>46</v>
      </c>
      <c r="N28" s="11" t="n">
        <v>68</v>
      </c>
      <c r="O28" s="11" t="n">
        <v>62</v>
      </c>
      <c r="P28" s="11" t="n">
        <v>54</v>
      </c>
      <c r="Q28" s="11" t="n">
        <v>60</v>
      </c>
      <c r="R28" s="11" t="n">
        <v>72</v>
      </c>
      <c r="S28" s="11" t="n">
        <v>64</v>
      </c>
      <c r="T28" s="11" t="n">
        <v>70</v>
      </c>
      <c r="U28" s="11" t="n">
        <v>50</v>
      </c>
      <c r="V28" s="11" t="n">
        <v>66</v>
      </c>
      <c r="W28" s="11" t="n">
        <v>50</v>
      </c>
      <c r="X28" s="11" t="n">
        <v>68</v>
      </c>
      <c r="Y28" s="11" t="n">
        <v>64</v>
      </c>
      <c r="Z28" s="11" t="n">
        <v>56</v>
      </c>
      <c r="AA28" s="11" t="n">
        <v>48</v>
      </c>
      <c r="AB28" s="11" t="n">
        <v>46</v>
      </c>
      <c r="AC28" s="11" t="n"/>
      <c r="AD28" s="11" t="n"/>
      <c r="AE28" s="11" t="n"/>
      <c r="AF28" s="11" t="n"/>
    </row>
    <row r="29">
      <c r="A29" s="6" t="inlineStr">
        <is>
          <t>Locação de salas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/>
      <c r="AD29" s="11" t="n"/>
      <c r="AE29" s="11" t="n"/>
      <c r="AF29" s="11" t="n"/>
    </row>
    <row r="30">
      <c r="A30" s="6" t="inlineStr">
        <is>
          <t>Equipamentos</t>
        </is>
      </c>
      <c r="B30" s="11" t="n">
        <v>0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0</v>
      </c>
      <c r="AA30" s="11" t="n">
        <v>0</v>
      </c>
      <c r="AB30" s="11" t="n">
        <v>0</v>
      </c>
      <c r="AC30" s="11" t="n"/>
      <c r="AD30" s="11" t="n"/>
      <c r="AE30" s="11" t="n"/>
      <c r="AF30" s="11" t="n"/>
    </row>
    <row r="31">
      <c r="A31" s="6" t="inlineStr">
        <is>
          <t>Lavanderia</t>
        </is>
      </c>
      <c r="B31" s="11" t="n">
        <v>26.38</v>
      </c>
      <c r="C31" s="11" t="n">
        <v>65.98</v>
      </c>
      <c r="D31" s="11" t="n">
        <v>44.79</v>
      </c>
      <c r="E31" s="11" t="n">
        <v>56.87</v>
      </c>
      <c r="F31" s="11" t="n">
        <v>17.16</v>
      </c>
      <c r="G31" s="11" t="n">
        <v>119.43</v>
      </c>
      <c r="H31" s="11" t="n">
        <v>40.26</v>
      </c>
      <c r="I31" s="11" t="n">
        <v>83.28</v>
      </c>
      <c r="J31" s="11" t="n">
        <v>17.93</v>
      </c>
      <c r="K31" s="11" t="n">
        <v>130.91</v>
      </c>
      <c r="L31" s="11" t="n">
        <v>129.02</v>
      </c>
      <c r="M31" s="11" t="n">
        <v>118.17</v>
      </c>
      <c r="N31" s="11" t="n">
        <v>65.66</v>
      </c>
      <c r="O31" s="11" t="n">
        <v>50</v>
      </c>
      <c r="P31" s="11" t="n">
        <v>30.53</v>
      </c>
      <c r="Q31" s="11" t="n">
        <v>62.32</v>
      </c>
      <c r="R31" s="11" t="n">
        <v>56.58</v>
      </c>
      <c r="S31" s="11" t="n">
        <v>136.57</v>
      </c>
      <c r="T31" s="11" t="n">
        <v>146.75</v>
      </c>
      <c r="U31" s="11" t="n">
        <v>69.17</v>
      </c>
      <c r="V31" s="11" t="n">
        <v>146.69</v>
      </c>
      <c r="W31" s="11" t="n">
        <v>136.44</v>
      </c>
      <c r="X31" s="11" t="n">
        <v>55.29</v>
      </c>
      <c r="Y31" s="11" t="n">
        <v>133.09</v>
      </c>
      <c r="Z31" s="11" t="n">
        <v>135.25</v>
      </c>
      <c r="AA31" s="11" t="n">
        <v>37.6</v>
      </c>
      <c r="AB31" s="11" t="n">
        <v>9.119999999999999</v>
      </c>
      <c r="AC31" s="11" t="n"/>
      <c r="AD31" s="11" t="n"/>
      <c r="AE31" s="11" t="n"/>
      <c r="AF31" s="11" t="n"/>
    </row>
    <row r="32">
      <c r="A32" s="6" t="inlineStr">
        <is>
          <t>Café da manhã</t>
        </is>
      </c>
      <c r="B32" s="11" t="n">
        <v>580</v>
      </c>
      <c r="C32" s="11" t="n">
        <v>620</v>
      </c>
      <c r="D32" s="11" t="n">
        <v>560</v>
      </c>
      <c r="E32" s="11" t="n">
        <v>700</v>
      </c>
      <c r="F32" s="11" t="n">
        <v>500</v>
      </c>
      <c r="G32" s="11" t="n">
        <v>440</v>
      </c>
      <c r="H32" s="11" t="n">
        <v>540</v>
      </c>
      <c r="I32" s="11" t="n">
        <v>580</v>
      </c>
      <c r="J32" s="11" t="n">
        <v>580</v>
      </c>
      <c r="K32" s="11" t="n">
        <v>520</v>
      </c>
      <c r="L32" s="11" t="n">
        <v>640</v>
      </c>
      <c r="M32" s="11" t="n">
        <v>460</v>
      </c>
      <c r="N32" s="11" t="n">
        <v>680</v>
      </c>
      <c r="O32" s="11" t="n">
        <v>620</v>
      </c>
      <c r="P32" s="11" t="n">
        <v>540</v>
      </c>
      <c r="Q32" s="11" t="n">
        <v>600</v>
      </c>
      <c r="R32" s="11" t="n">
        <v>720</v>
      </c>
      <c r="S32" s="11" t="n">
        <v>640</v>
      </c>
      <c r="T32" s="11" t="n">
        <v>700</v>
      </c>
      <c r="U32" s="11" t="n">
        <v>500</v>
      </c>
      <c r="V32" s="11" t="n">
        <v>660</v>
      </c>
      <c r="W32" s="11" t="n">
        <v>500</v>
      </c>
      <c r="X32" s="11" t="n">
        <v>680</v>
      </c>
      <c r="Y32" s="11" t="n">
        <v>640</v>
      </c>
      <c r="Z32" s="11" t="n">
        <v>560</v>
      </c>
      <c r="AA32" s="11" t="n">
        <v>480</v>
      </c>
      <c r="AB32" s="11" t="n">
        <v>460</v>
      </c>
      <c r="AC32" s="11" t="n"/>
      <c r="AD32" s="11" t="n"/>
      <c r="AE32" s="11" t="n"/>
      <c r="AF32" s="11" t="n"/>
    </row>
    <row r="33">
      <c r="A33" s="6" t="inlineStr">
        <is>
          <t>Frigobar</t>
        </is>
      </c>
      <c r="B33" s="11" t="n">
        <v>251.59</v>
      </c>
      <c r="C33" s="11" t="n">
        <v>202.71</v>
      </c>
      <c r="D33" s="11" t="n">
        <v>138</v>
      </c>
      <c r="E33" s="11" t="n">
        <v>102.33</v>
      </c>
      <c r="F33" s="11" t="n">
        <v>249.55</v>
      </c>
      <c r="G33" s="11" t="n">
        <v>173.19</v>
      </c>
      <c r="H33" s="11" t="n">
        <v>230.34</v>
      </c>
      <c r="I33" s="11" t="n">
        <v>108.06</v>
      </c>
      <c r="J33" s="11" t="n">
        <v>167.17</v>
      </c>
      <c r="K33" s="11" t="n">
        <v>174.81</v>
      </c>
      <c r="L33" s="11" t="n">
        <v>258.01</v>
      </c>
      <c r="M33" s="11" t="n">
        <v>185.01</v>
      </c>
      <c r="N33" s="11" t="n">
        <v>179.61</v>
      </c>
      <c r="O33" s="11" t="n">
        <v>194.03</v>
      </c>
      <c r="P33" s="11" t="n">
        <v>169.84</v>
      </c>
      <c r="Q33" s="11" t="n">
        <v>156.5</v>
      </c>
      <c r="R33" s="11" t="n">
        <v>246.57</v>
      </c>
      <c r="S33" s="11" t="n">
        <v>63.07</v>
      </c>
      <c r="T33" s="11" t="n">
        <v>212.07</v>
      </c>
      <c r="U33" s="11" t="n">
        <v>110.8</v>
      </c>
      <c r="V33" s="11" t="n">
        <v>191.65</v>
      </c>
      <c r="W33" s="11" t="n">
        <v>125.34</v>
      </c>
      <c r="X33" s="11" t="n">
        <v>209.8</v>
      </c>
      <c r="Y33" s="11" t="n">
        <v>87.13</v>
      </c>
      <c r="Z33" s="11" t="n">
        <v>188.97</v>
      </c>
      <c r="AA33" s="11" t="n">
        <v>94.90000000000001</v>
      </c>
      <c r="AB33" s="11" t="n">
        <v>155.8</v>
      </c>
      <c r="AC33" s="11" t="n"/>
      <c r="AD33" s="11" t="n"/>
      <c r="AE33" s="11" t="n"/>
      <c r="AF33" s="11" t="n"/>
    </row>
    <row r="34">
      <c r="A34" s="6" t="inlineStr">
        <is>
          <t>Restaurante</t>
        </is>
      </c>
      <c r="B34" s="11" t="n">
        <v>458.98</v>
      </c>
      <c r="C34" s="11" t="n">
        <v>317.25</v>
      </c>
      <c r="D34" s="11" t="n">
        <v>645.8200000000001</v>
      </c>
      <c r="E34" s="11" t="n">
        <v>363.42</v>
      </c>
      <c r="F34" s="11" t="n">
        <v>432.52</v>
      </c>
      <c r="G34" s="11" t="n">
        <v>220.53</v>
      </c>
      <c r="H34" s="11" t="n">
        <v>615.37</v>
      </c>
      <c r="I34" s="11" t="n">
        <v>438.05</v>
      </c>
      <c r="J34" s="11" t="n">
        <v>581.09</v>
      </c>
      <c r="K34" s="11" t="n">
        <v>434.7</v>
      </c>
      <c r="L34" s="11" t="n">
        <v>352.69</v>
      </c>
      <c r="M34" s="11" t="n">
        <v>530.59</v>
      </c>
      <c r="N34" s="11" t="n">
        <v>644.71</v>
      </c>
      <c r="O34" s="11" t="n">
        <v>628.87</v>
      </c>
      <c r="P34" s="11" t="n">
        <v>663.84</v>
      </c>
      <c r="Q34" s="11" t="n">
        <v>436.11</v>
      </c>
      <c r="R34" s="11" t="n">
        <v>634.8</v>
      </c>
      <c r="S34" s="11" t="n">
        <v>272.08</v>
      </c>
      <c r="T34" s="11" t="n">
        <v>551.95</v>
      </c>
      <c r="U34" s="11" t="n">
        <v>327.66</v>
      </c>
      <c r="V34" s="11" t="n">
        <v>337.24</v>
      </c>
      <c r="W34" s="11" t="n">
        <v>407.75</v>
      </c>
      <c r="X34" s="11" t="n">
        <v>331.08</v>
      </c>
      <c r="Y34" s="11" t="n">
        <v>426.82</v>
      </c>
      <c r="Z34" s="11" t="n">
        <v>230.28</v>
      </c>
      <c r="AA34" s="11" t="n">
        <v>530.53</v>
      </c>
      <c r="AB34" s="11" t="n">
        <v>400.81</v>
      </c>
      <c r="AC34" s="11" t="n"/>
      <c r="AD34" s="11" t="n"/>
      <c r="AE34" s="11" t="n"/>
      <c r="AF34" s="11" t="n"/>
    </row>
    <row r="35">
      <c r="A35" s="6" t="inlineStr">
        <is>
          <t>Room service</t>
        </is>
      </c>
      <c r="B35" s="11" t="n">
        <v>10.04</v>
      </c>
      <c r="C35" s="11" t="n">
        <v>67.17</v>
      </c>
      <c r="D35" s="11" t="n">
        <v>167.15</v>
      </c>
      <c r="E35" s="11" t="n">
        <v>152.25</v>
      </c>
      <c r="F35" s="11" t="n">
        <v>51.25</v>
      </c>
      <c r="G35" s="11" t="n">
        <v>106.55</v>
      </c>
      <c r="H35" s="11" t="n">
        <v>17.33</v>
      </c>
      <c r="I35" s="11" t="n">
        <v>142.37</v>
      </c>
      <c r="J35" s="11" t="n">
        <v>37.03</v>
      </c>
      <c r="K35" s="11" t="n">
        <v>88.09</v>
      </c>
      <c r="L35" s="11" t="n">
        <v>124.21</v>
      </c>
      <c r="M35" s="11" t="n">
        <v>186.73</v>
      </c>
      <c r="N35" s="11" t="n">
        <v>146.91</v>
      </c>
      <c r="O35" s="11" t="n">
        <v>65.95999999999999</v>
      </c>
      <c r="P35" s="11" t="n">
        <v>87.62</v>
      </c>
      <c r="Q35" s="11" t="n">
        <v>91.36</v>
      </c>
      <c r="R35" s="11" t="n">
        <v>196.15</v>
      </c>
      <c r="S35" s="11" t="n">
        <v>174.19</v>
      </c>
      <c r="T35" s="11" t="n">
        <v>20.1</v>
      </c>
      <c r="U35" s="11" t="n">
        <v>1.88</v>
      </c>
      <c r="V35" s="11" t="n">
        <v>113.19</v>
      </c>
      <c r="W35" s="11" t="n">
        <v>40.16</v>
      </c>
      <c r="X35" s="11" t="n">
        <v>76.20999999999999</v>
      </c>
      <c r="Y35" s="11" t="n">
        <v>134.1</v>
      </c>
      <c r="Z35" s="11" t="n">
        <v>55.18</v>
      </c>
      <c r="AA35" s="11" t="n">
        <v>5.16</v>
      </c>
      <c r="AB35" s="11" t="n">
        <v>137.22</v>
      </c>
      <c r="AC35" s="11" t="n"/>
      <c r="AD35" s="11" t="n"/>
      <c r="AE35" s="11" t="n"/>
      <c r="AF35" s="11" t="n"/>
    </row>
    <row r="36">
      <c r="A36" s="6" t="inlineStr">
        <is>
          <t>Banquete</t>
        </is>
      </c>
      <c r="B36" s="11" t="n">
        <v>0</v>
      </c>
      <c r="C36" s="11" t="n">
        <v>0</v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0</v>
      </c>
      <c r="V36" s="11" t="n">
        <v>0</v>
      </c>
      <c r="W36" s="11" t="n">
        <v>0</v>
      </c>
      <c r="X36" s="11" t="n">
        <v>0</v>
      </c>
      <c r="Y36" s="11" t="n">
        <v>0</v>
      </c>
      <c r="Z36" s="11" t="n">
        <v>0</v>
      </c>
      <c r="AA36" s="11" t="n">
        <v>0</v>
      </c>
      <c r="AB36" s="11" t="n">
        <v>0</v>
      </c>
      <c r="AC36" s="11" t="n"/>
      <c r="AD36" s="11" t="n"/>
      <c r="AE36" s="11" t="n"/>
      <c r="AF36" s="11" t="n"/>
    </row>
    <row r="37">
      <c r="A37" s="6" t="inlineStr">
        <is>
          <t>Internet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/>
      <c r="AD37" s="11" t="n"/>
      <c r="AE37" s="11" t="n"/>
      <c r="AF37" s="11" t="n"/>
    </row>
    <row r="38">
      <c r="A38" s="6" t="inlineStr">
        <is>
          <t>Aluguel de vagas</t>
        </is>
      </c>
      <c r="B38" s="11" t="n">
        <v>250</v>
      </c>
      <c r="C38" s="11" t="n">
        <v>350</v>
      </c>
      <c r="D38" s="11" t="n">
        <v>350</v>
      </c>
      <c r="E38" s="11" t="n">
        <v>300</v>
      </c>
      <c r="F38" s="11" t="n">
        <v>300</v>
      </c>
      <c r="G38" s="11" t="n">
        <v>350</v>
      </c>
      <c r="H38" s="11" t="n">
        <v>300</v>
      </c>
      <c r="I38" s="11" t="n">
        <v>300</v>
      </c>
      <c r="J38" s="11" t="n">
        <v>250</v>
      </c>
      <c r="K38" s="11" t="n">
        <v>250</v>
      </c>
      <c r="L38" s="11" t="n">
        <v>350</v>
      </c>
      <c r="M38" s="11" t="n">
        <v>300</v>
      </c>
      <c r="N38" s="11" t="n">
        <v>350</v>
      </c>
      <c r="O38" s="11" t="n">
        <v>350</v>
      </c>
      <c r="P38" s="11" t="n">
        <v>350</v>
      </c>
      <c r="Q38" s="11" t="n">
        <v>250</v>
      </c>
      <c r="R38" s="11" t="n">
        <v>250</v>
      </c>
      <c r="S38" s="11" t="n">
        <v>250</v>
      </c>
      <c r="T38" s="11" t="n">
        <v>250</v>
      </c>
      <c r="U38" s="11" t="n">
        <v>300</v>
      </c>
      <c r="V38" s="11" t="n">
        <v>350</v>
      </c>
      <c r="W38" s="11" t="n">
        <v>350</v>
      </c>
      <c r="X38" s="11" t="n">
        <v>350</v>
      </c>
      <c r="Y38" s="11" t="n">
        <v>350</v>
      </c>
      <c r="Z38" s="11" t="n">
        <v>250</v>
      </c>
      <c r="AA38" s="11" t="n">
        <v>250</v>
      </c>
      <c r="AB38" s="11" t="n">
        <v>300</v>
      </c>
      <c r="AC38" s="11" t="n"/>
      <c r="AD38" s="11" t="n"/>
      <c r="AE38" s="11" t="n"/>
      <c r="AF38" s="11" t="n"/>
    </row>
    <row r="39">
      <c r="A39" s="6" t="inlineStr">
        <is>
          <t>Outras receitas</t>
        </is>
      </c>
      <c r="B39" s="11" t="n">
        <v>0</v>
      </c>
      <c r="C39" s="11" t="n">
        <v>0</v>
      </c>
      <c r="D39" s="11" t="n">
        <v>0</v>
      </c>
      <c r="E39" s="11" t="n">
        <v>40</v>
      </c>
      <c r="F39" s="11" t="n">
        <v>0</v>
      </c>
      <c r="G39" s="11" t="n">
        <v>40</v>
      </c>
      <c r="H39" s="11" t="n">
        <v>0</v>
      </c>
      <c r="I39" s="11" t="n">
        <v>0</v>
      </c>
      <c r="J39" s="11" t="n">
        <v>40</v>
      </c>
      <c r="K39" s="11" t="n">
        <v>0</v>
      </c>
      <c r="L39" s="11" t="n">
        <v>0</v>
      </c>
      <c r="M39" s="11" t="n">
        <v>0</v>
      </c>
      <c r="N39" s="11" t="n">
        <v>40</v>
      </c>
      <c r="O39" s="11" t="n">
        <v>40</v>
      </c>
      <c r="P39" s="11" t="n">
        <v>40</v>
      </c>
      <c r="Q39" s="11" t="n">
        <v>40</v>
      </c>
      <c r="R39" s="11" t="n">
        <v>40</v>
      </c>
      <c r="S39" s="11" t="n">
        <v>0</v>
      </c>
      <c r="T39" s="11" t="n">
        <v>40</v>
      </c>
      <c r="U39" s="11" t="n">
        <v>40</v>
      </c>
      <c r="V39" s="11" t="n">
        <v>0</v>
      </c>
      <c r="W39" s="11" t="n">
        <v>40</v>
      </c>
      <c r="X39" s="11" t="n">
        <v>40</v>
      </c>
      <c r="Y39" s="11" t="n">
        <v>40</v>
      </c>
      <c r="Z39" s="11" t="n">
        <v>40</v>
      </c>
      <c r="AA39" s="11" t="n">
        <v>40</v>
      </c>
      <c r="AB39" s="11" t="n">
        <v>40</v>
      </c>
      <c r="AC39" s="11" t="n"/>
      <c r="AD39" s="11" t="n"/>
      <c r="AE39" s="11" t="n"/>
      <c r="AF39" s="11" t="n"/>
    </row>
    <row r="40">
      <c r="A40" s="6" t="inlineStr">
        <is>
          <t>Estornos (outras receitas)</t>
        </is>
      </c>
      <c r="B40" s="11" t="n">
        <v>0</v>
      </c>
      <c r="C40" s="11" t="n">
        <v>0</v>
      </c>
      <c r="D40" s="11" t="n">
        <v>0</v>
      </c>
      <c r="E40" s="11" t="n">
        <v>0</v>
      </c>
      <c r="F40" s="11" t="n">
        <v>-12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-12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-12</v>
      </c>
      <c r="V40" s="11" t="n">
        <v>-12</v>
      </c>
      <c r="W40" s="11" t="n">
        <v>-12</v>
      </c>
      <c r="X40" s="11" t="n">
        <v>0</v>
      </c>
      <c r="Y40" s="11" t="n">
        <v>-12</v>
      </c>
      <c r="Z40" s="11" t="n">
        <v>0</v>
      </c>
      <c r="AA40" s="11" t="n">
        <v>0</v>
      </c>
      <c r="AB40" s="11" t="n">
        <v>0</v>
      </c>
      <c r="AC40" s="11" t="n"/>
      <c r="AD40" s="11" t="n"/>
      <c r="AE40" s="11" t="n"/>
      <c r="AF40" s="11" t="n"/>
    </row>
    <row r="41">
      <c r="A41" s="2" t="inlineStr">
        <is>
          <t>Total de receitas</t>
        </is>
      </c>
      <c r="B41" s="12">
        <f>SUM(B17:B40)</f>
        <v/>
      </c>
      <c r="C41" s="12">
        <f>SUM(C17:C40)</f>
        <v/>
      </c>
      <c r="D41" s="12">
        <f>SUM(D17:D40)</f>
        <v/>
      </c>
      <c r="E41" s="12">
        <f>SUM(E17:E40)</f>
        <v/>
      </c>
      <c r="F41" s="12">
        <f>SUM(F17:F40)</f>
        <v/>
      </c>
      <c r="G41" s="12">
        <f>SUM(G17:G40)</f>
        <v/>
      </c>
      <c r="H41" s="12">
        <f>SUM(H17:H40)</f>
        <v/>
      </c>
      <c r="I41" s="12">
        <f>SUM(I17:I40)</f>
        <v/>
      </c>
      <c r="J41" s="12">
        <f>SUM(J17:J40)</f>
        <v/>
      </c>
      <c r="K41" s="12">
        <f>SUM(K17:K40)</f>
        <v/>
      </c>
      <c r="L41" s="12">
        <f>SUM(L17:L40)</f>
        <v/>
      </c>
      <c r="M41" s="12">
        <f>SUM(M17:M40)</f>
        <v/>
      </c>
      <c r="N41" s="12">
        <f>SUM(N17:N40)</f>
        <v/>
      </c>
      <c r="O41" s="12">
        <f>SUM(O17:O40)</f>
        <v/>
      </c>
      <c r="P41" s="12">
        <f>SUM(P17:P40)</f>
        <v/>
      </c>
      <c r="Q41" s="12">
        <f>SUM(Q17:Q40)</f>
        <v/>
      </c>
      <c r="R41" s="12">
        <f>SUM(R17:R40)</f>
        <v/>
      </c>
      <c r="S41" s="12">
        <f>SUM(S17:S40)</f>
        <v/>
      </c>
      <c r="T41" s="12">
        <f>SUM(T17:T40)</f>
        <v/>
      </c>
      <c r="U41" s="12">
        <f>SUM(U17:U40)</f>
        <v/>
      </c>
      <c r="V41" s="12">
        <f>SUM(V17:V40)</f>
        <v/>
      </c>
      <c r="W41" s="12">
        <f>SUM(W17:W40)</f>
        <v/>
      </c>
      <c r="X41" s="12">
        <f>SUM(X17:X40)</f>
        <v/>
      </c>
      <c r="Y41" s="12">
        <f>SUM(Y17:Y40)</f>
        <v/>
      </c>
      <c r="Z41" s="12">
        <f>SUM(Z17:Z40)</f>
        <v/>
      </c>
      <c r="AA41" s="12">
        <f>SUM(AA17:AA40)</f>
        <v/>
      </c>
      <c r="AB41" s="12">
        <f>SUM(AB17:AB40)</f>
        <v/>
      </c>
      <c r="AC41" s="12">
        <f>SUM(AC17:AC40)</f>
        <v/>
      </c>
      <c r="AD41" s="12">
        <f>SUM(AD17:AD40)</f>
        <v/>
      </c>
      <c r="AE41" s="12">
        <f>SUM(AE17:AE40)</f>
        <v/>
      </c>
      <c r="AF41" s="12">
        <f>SUM(AF17:AF40)</f>
        <v/>
      </c>
    </row>
    <row r="43">
      <c r="A43" s="10" t="inlineStr">
        <is>
          <t>PREVISÃO TRÊS DIAS</t>
        </is>
      </c>
    </row>
    <row r="44">
      <c r="A44" s="6" t="inlineStr">
        <is>
          <t>UH's no pool</t>
        </is>
      </c>
    </row>
    <row r="45">
      <c r="A45" s="6" t="inlineStr">
        <is>
          <t>UH's ocupadas</t>
        </is>
      </c>
    </row>
    <row r="46">
      <c r="A46" s="6" t="inlineStr">
        <is>
          <t>Diária média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</row>
    <row r="47">
      <c r="A47" s="6" t="inlineStr">
        <is>
          <t>Hóspedes (adultos)</t>
        </is>
      </c>
    </row>
    <row r="94">
      <c r="A94" s="10" t="inlineStr">
        <is>
          <t>CONTAS PENDENTES</t>
        </is>
      </c>
    </row>
    <row r="95">
      <c r="AK95" s="13" t="inlineStr">
        <is>
          <t>Dia 1 - Qtd</t>
        </is>
      </c>
      <c r="AL95" s="13" t="inlineStr">
        <is>
          <t>Dia 1 - Débito</t>
        </is>
      </c>
      <c r="AM95" s="13" t="inlineStr">
        <is>
          <t>Dia 1 - Crédito</t>
        </is>
      </c>
      <c r="AN95" s="13" t="inlineStr">
        <is>
          <t>Dia 2 - Qtd</t>
        </is>
      </c>
      <c r="AO95" s="13" t="inlineStr">
        <is>
          <t>Dia 2 - Débito</t>
        </is>
      </c>
      <c r="AP95" s="13" t="inlineStr">
        <is>
          <t>Dia 2 - Crédito</t>
        </is>
      </c>
      <c r="AQ95" s="13" t="inlineStr">
        <is>
          <t>Dia 3 - Qtd</t>
        </is>
      </c>
      <c r="AR95" s="13" t="inlineStr">
        <is>
          <t>Dia 3 - Débito</t>
        </is>
      </c>
      <c r="AS95" s="13" t="inlineStr">
        <is>
          <t>Dia 3 - Crédito</t>
        </is>
      </c>
      <c r="AT95" s="13" t="inlineStr">
        <is>
          <t>Dia 4 - Qtd</t>
        </is>
      </c>
      <c r="AU95" s="13" t="inlineStr">
        <is>
          <t>Dia 4 - Débito</t>
        </is>
      </c>
      <c r="AV95" s="13" t="inlineStr">
        <is>
          <t>Dia 4 - Crédito</t>
        </is>
      </c>
      <c r="AW95" s="13" t="inlineStr">
        <is>
          <t>Dia 5 - Qtd</t>
        </is>
      </c>
      <c r="AX95" s="13" t="inlineStr">
        <is>
          <t>Dia 5 - Débito</t>
        </is>
      </c>
      <c r="AY95" s="13" t="inlineStr">
        <is>
          <t>Dia 5 - Crédito</t>
        </is>
      </c>
      <c r="AZ95" s="13" t="inlineStr">
        <is>
          <t>Dia 6 - Qtd</t>
        </is>
      </c>
      <c r="BA95" s="13" t="inlineStr">
        <is>
          <t>Dia 6 - Débito</t>
        </is>
      </c>
      <c r="BB95" s="13" t="inlineStr">
        <is>
          <t>Dia 6 - Crédito</t>
        </is>
      </c>
      <c r="BC95" s="13" t="inlineStr">
        <is>
          <t>Dia 7 - Qtd</t>
        </is>
      </c>
      <c r="BD95" s="13" t="inlineStr">
        <is>
          <t>Dia 7 - Débito</t>
        </is>
      </c>
      <c r="BE95" s="13" t="inlineStr">
        <is>
          <t>Dia 7 - Crédito</t>
        </is>
      </c>
      <c r="BF95" s="13" t="inlineStr">
        <is>
          <t>Dia 8 - Qtd</t>
        </is>
      </c>
      <c r="BG95" s="13" t="inlineStr">
        <is>
          <t>Dia 8 - Débito</t>
        </is>
      </c>
      <c r="BH95" s="13" t="inlineStr">
        <is>
          <t>Dia 8 - Crédito</t>
        </is>
      </c>
      <c r="BI95" s="13" t="inlineStr">
        <is>
          <t>Dia 9 - Qtd</t>
        </is>
      </c>
      <c r="BJ95" s="13" t="inlineStr">
        <is>
          <t>Dia 9 - Débito</t>
        </is>
      </c>
      <c r="BK95" s="13" t="inlineStr">
        <is>
          <t>Dia 9 - Crédito</t>
        </is>
      </c>
      <c r="BL95" s="13" t="inlineStr">
        <is>
          <t>Dia 10 - Qtd</t>
        </is>
      </c>
      <c r="BM95" s="13" t="inlineStr">
        <is>
          <t>Dia 10 - Débito</t>
        </is>
      </c>
      <c r="BN95" s="13" t="inlineStr">
        <is>
          <t>Dia 10 - Crédito</t>
        </is>
      </c>
      <c r="BO95" s="13" t="inlineStr">
        <is>
          <t>Dia 11 - Qtd</t>
        </is>
      </c>
      <c r="BP95" s="13" t="inlineStr">
        <is>
          <t>Dia 11 - Débito</t>
        </is>
      </c>
      <c r="BQ95" s="13" t="inlineStr">
        <is>
          <t>Dia 11 - Crédito</t>
        </is>
      </c>
      <c r="BR95" s="13" t="inlineStr">
        <is>
          <t>Dia 12 - Qtd</t>
        </is>
      </c>
      <c r="BS95" s="13" t="inlineStr">
        <is>
          <t>Dia 12 - Débito</t>
        </is>
      </c>
      <c r="BT95" s="13" t="inlineStr">
        <is>
          <t>Dia 12 - Crédito</t>
        </is>
      </c>
      <c r="BU95" s="13" t="inlineStr">
        <is>
          <t>Dia 13 - Qtd</t>
        </is>
      </c>
      <c r="BV95" s="13" t="inlineStr">
        <is>
          <t>Dia 13 - Débito</t>
        </is>
      </c>
      <c r="BW95" s="13" t="inlineStr">
        <is>
          <t>Dia 13 - Crédito</t>
        </is>
      </c>
      <c r="BX95" s="13" t="inlineStr">
        <is>
          <t>Dia 14 - Qtd</t>
        </is>
      </c>
      <c r="BY95" s="13" t="inlineStr">
        <is>
          <t>Dia 14 - Débito</t>
        </is>
      </c>
      <c r="BZ95" s="13" t="inlineStr">
        <is>
          <t>Dia 14 - Crédito</t>
        </is>
      </c>
      <c r="CA95" s="13" t="inlineStr">
        <is>
          <t>Dia 15 - Qtd</t>
        </is>
      </c>
      <c r="CB95" s="13" t="inlineStr">
        <is>
          <t>Dia 15 - Débito</t>
        </is>
      </c>
      <c r="CC95" s="13" t="inlineStr">
        <is>
          <t>Dia 15 - Crédito</t>
        </is>
      </c>
      <c r="CD95" s="13" t="inlineStr">
        <is>
          <t>Dia 16 - Qtd</t>
        </is>
      </c>
      <c r="CE95" s="13" t="inlineStr">
        <is>
          <t>Dia 16 - Débito</t>
        </is>
      </c>
      <c r="CF95" s="13" t="inlineStr">
        <is>
          <t>Dia 16 - Crédito</t>
        </is>
      </c>
      <c r="CG95" s="13" t="inlineStr">
        <is>
          <t>Dia 17 - Qtd</t>
        </is>
      </c>
      <c r="CH95" s="13" t="inlineStr">
        <is>
          <t>Dia 17 - Débito</t>
        </is>
      </c>
      <c r="CI95" s="13" t="inlineStr">
        <is>
          <t>Dia 17 - Crédito</t>
        </is>
      </c>
      <c r="CJ95" s="13" t="inlineStr">
        <is>
          <t>Dia 18 - Qtd</t>
        </is>
      </c>
      <c r="CK95" s="13" t="inlineStr">
        <is>
          <t>Dia 18 - Débito</t>
        </is>
      </c>
      <c r="CL95" s="13" t="inlineStr">
        <is>
          <t>Dia 18 - Crédito</t>
        </is>
      </c>
      <c r="CM95" s="13" t="inlineStr">
        <is>
          <t>Dia 19 - Qtd</t>
        </is>
      </c>
      <c r="CN95" s="13" t="inlineStr">
        <is>
          <t>Dia 19 - Débito</t>
        </is>
      </c>
      <c r="CO95" s="13" t="inlineStr">
        <is>
          <t>Dia 19 - Crédito</t>
        </is>
      </c>
      <c r="CP95" s="13" t="inlineStr">
        <is>
          <t>Dia 20 - Qtd</t>
        </is>
      </c>
      <c r="CQ95" s="13" t="inlineStr">
        <is>
          <t>Dia 20 - Débito</t>
        </is>
      </c>
      <c r="CR95" s="13" t="inlineStr">
        <is>
          <t>Dia 20 - Crédito</t>
        </is>
      </c>
      <c r="CS95" s="13" t="inlineStr">
        <is>
          <t>Dia 21 - Qtd</t>
        </is>
      </c>
      <c r="CT95" s="13" t="inlineStr">
        <is>
          <t>Dia 21 - Débito</t>
        </is>
      </c>
      <c r="CU95" s="13" t="inlineStr">
        <is>
          <t>Dia 21 - Crédito</t>
        </is>
      </c>
      <c r="CV95" s="13" t="inlineStr">
        <is>
          <t>Dia 22 - Qtd</t>
        </is>
      </c>
      <c r="CW95" s="13" t="inlineStr">
        <is>
          <t>Dia 22 - Débito</t>
        </is>
      </c>
      <c r="CX95" s="13" t="inlineStr">
        <is>
          <t>Dia 22 - Crédito</t>
        </is>
      </c>
      <c r="CY95" s="13" t="inlineStr">
        <is>
          <t>Dia 23 - Qtd</t>
        </is>
      </c>
      <c r="CZ95" s="13" t="inlineStr">
        <is>
          <t>Dia 23 - Débito</t>
        </is>
      </c>
      <c r="DA95" s="13" t="inlineStr">
        <is>
          <t>Dia 23 - Crédito</t>
        </is>
      </c>
      <c r="DB95" s="13" t="inlineStr">
        <is>
          <t>Dia 24 - Qtd</t>
        </is>
      </c>
      <c r="DC95" s="13" t="inlineStr">
        <is>
          <t>Dia 24 - Débito</t>
        </is>
      </c>
      <c r="DD95" s="13" t="inlineStr">
        <is>
          <t>Dia 24 - Crédito</t>
        </is>
      </c>
      <c r="DE95" s="13" t="inlineStr">
        <is>
          <t>Dia 25 - Qtd</t>
        </is>
      </c>
      <c r="DF95" s="13" t="inlineStr">
        <is>
          <t>Dia 25 - Débito</t>
        </is>
      </c>
      <c r="DG95" s="13" t="inlineStr">
        <is>
          <t>Dia 25 - Crédito</t>
        </is>
      </c>
      <c r="DH95" s="13" t="inlineStr">
        <is>
          <t>Dia 26 - Qtd</t>
        </is>
      </c>
      <c r="DI95" s="13" t="inlineStr">
        <is>
          <t>Dia 26 - Débito</t>
        </is>
      </c>
      <c r="DJ95" s="13" t="inlineStr">
        <is>
          <t>Dia 26 - Crédito</t>
        </is>
      </c>
      <c r="DK95" s="13" t="inlineStr">
        <is>
          <t>Dia 27 - Qtd</t>
        </is>
      </c>
      <c r="DL95" s="13" t="inlineStr">
        <is>
          <t>Dia 27 - Débito</t>
        </is>
      </c>
      <c r="DM95" s="13" t="inlineStr">
        <is>
          <t>Dia 27 - Crédito</t>
        </is>
      </c>
      <c r="DN95" s="13" t="inlineStr">
        <is>
          <t>Dia 28 - Qtd</t>
        </is>
      </c>
      <c r="DO95" s="13" t="inlineStr">
        <is>
          <t>Dia 28 - Débito</t>
        </is>
      </c>
      <c r="DP95" s="13" t="inlineStr">
        <is>
          <t>Dia 28 - Crédito</t>
        </is>
      </c>
      <c r="DQ95" s="13" t="inlineStr">
        <is>
          <t>Dia 29 - Qtd</t>
        </is>
      </c>
      <c r="DR95" s="13" t="inlineStr">
        <is>
          <t>Dia 29 - Débito</t>
        </is>
      </c>
      <c r="DS95" s="13" t="inlineStr">
        <is>
          <t>Dia 29 - Crédito</t>
        </is>
      </c>
      <c r="DT95" s="13" t="inlineStr">
        <is>
          <t>Dia 30 - Qtd</t>
        </is>
      </c>
      <c r="DU95" s="13" t="inlineStr">
        <is>
          <t>Dia 30 - Débito</t>
        </is>
      </c>
      <c r="DV95" s="13" t="inlineStr">
        <is>
          <t>Dia 30 - Crédito</t>
        </is>
      </c>
      <c r="DW95" s="13" t="inlineStr">
        <is>
          <t>Dia 31 - Qtd</t>
        </is>
      </c>
      <c r="DX95" s="13" t="inlineStr">
        <is>
          <t>Dia 31 - Débito</t>
        </is>
      </c>
      <c r="DY95" s="13" t="inlineStr">
        <is>
          <t>Dia 31 - Crédito</t>
        </is>
      </c>
    </row>
    <row r="96">
      <c r="A96" s="6" t="inlineStr">
        <is>
          <t>Contas pendentes (qtd)</t>
        </is>
      </c>
      <c r="B96" t="n">
        <v>4</v>
      </c>
      <c r="C96" t="n">
        <v>4</v>
      </c>
      <c r="D96" t="n">
        <v>4</v>
      </c>
      <c r="E96" t="n">
        <v>5</v>
      </c>
      <c r="F96" t="n">
        <v>7</v>
      </c>
      <c r="G96" t="n">
        <v>7</v>
      </c>
      <c r="H96" t="n">
        <v>7</v>
      </c>
      <c r="I96" t="n">
        <v>5</v>
      </c>
      <c r="J96" t="n">
        <v>8</v>
      </c>
      <c r="K96" t="n">
        <v>9</v>
      </c>
      <c r="L96" t="n">
        <v>8</v>
      </c>
      <c r="M96" t="n">
        <v>4</v>
      </c>
      <c r="N96" t="n">
        <v>3</v>
      </c>
      <c r="O96" t="n">
        <v>8</v>
      </c>
      <c r="P96" t="n">
        <v>3</v>
      </c>
      <c r="Q96" t="n">
        <v>7</v>
      </c>
      <c r="R96" t="n">
        <v>9</v>
      </c>
      <c r="S96" t="n">
        <v>9</v>
      </c>
      <c r="T96" t="n">
        <v>3</v>
      </c>
      <c r="U96" t="n">
        <v>7</v>
      </c>
      <c r="V96" t="n">
        <v>8</v>
      </c>
      <c r="W96" t="n">
        <v>7</v>
      </c>
      <c r="X96" t="n">
        <v>8</v>
      </c>
      <c r="Y96" t="n">
        <v>8</v>
      </c>
      <c r="Z96" t="n">
        <v>8</v>
      </c>
      <c r="AA96" t="n">
        <v>7</v>
      </c>
      <c r="AB96" t="n">
        <v>3</v>
      </c>
      <c r="AK96" t="n">
        <v>4</v>
      </c>
      <c r="AL96" s="11" t="n">
        <v>7609.92</v>
      </c>
      <c r="AM96" s="11" t="n">
        <v>2836.52</v>
      </c>
      <c r="AN96" t="n">
        <v>4</v>
      </c>
      <c r="AO96" s="11" t="n">
        <v>3618.83</v>
      </c>
      <c r="AP96" s="11" t="n">
        <v>2928.82</v>
      </c>
      <c r="AQ96" t="n">
        <v>4</v>
      </c>
      <c r="AR96" s="11" t="n">
        <v>3910.55</v>
      </c>
      <c r="AS96" s="11" t="n">
        <v>2199.75</v>
      </c>
      <c r="AT96" t="n">
        <v>5</v>
      </c>
      <c r="AU96" s="11" t="n">
        <v>7844.38</v>
      </c>
      <c r="AV96" s="11" t="n">
        <v>2146.07</v>
      </c>
      <c r="AW96" t="n">
        <v>7</v>
      </c>
      <c r="AX96" s="11" t="n">
        <v>8746.139999999999</v>
      </c>
      <c r="AY96" s="11" t="n">
        <v>3014.25</v>
      </c>
      <c r="AZ96" t="n">
        <v>7</v>
      </c>
      <c r="BA96" s="11" t="n">
        <v>6532.8</v>
      </c>
      <c r="BB96" s="11" t="n">
        <v>544.28</v>
      </c>
      <c r="BC96" t="n">
        <v>7</v>
      </c>
      <c r="BD96" s="11" t="n">
        <v>6272.32</v>
      </c>
      <c r="BE96" s="11" t="n">
        <v>1826.46</v>
      </c>
      <c r="BF96" t="n">
        <v>5</v>
      </c>
      <c r="BG96" s="11" t="n">
        <v>3551.17</v>
      </c>
      <c r="BH96" s="11" t="n">
        <v>2921.26</v>
      </c>
      <c r="BI96" t="n">
        <v>8</v>
      </c>
      <c r="BJ96" s="11" t="n">
        <v>6127.11</v>
      </c>
      <c r="BK96" s="11" t="n">
        <v>3160.73</v>
      </c>
      <c r="BL96" t="n">
        <v>9</v>
      </c>
      <c r="BM96" s="11" t="n">
        <v>5344.1</v>
      </c>
      <c r="BN96" s="11" t="n">
        <v>3377.4</v>
      </c>
      <c r="BO96" t="n">
        <v>8</v>
      </c>
      <c r="BP96" s="11" t="n">
        <v>3477.18</v>
      </c>
      <c r="BQ96" s="11" t="n">
        <v>2811.5</v>
      </c>
      <c r="BR96" t="n">
        <v>4</v>
      </c>
      <c r="BS96" s="11" t="n">
        <v>6533.44</v>
      </c>
      <c r="BT96" s="11" t="n">
        <v>3679.44</v>
      </c>
      <c r="BU96" t="n">
        <v>3</v>
      </c>
      <c r="BV96" s="11" t="n">
        <v>3602.47</v>
      </c>
      <c r="BW96" s="11" t="n">
        <v>2860.04</v>
      </c>
      <c r="BX96" t="n">
        <v>8</v>
      </c>
      <c r="BY96" s="11" t="n">
        <v>8616.35</v>
      </c>
      <c r="BZ96" s="11" t="n">
        <v>3347.48</v>
      </c>
      <c r="CA96" t="n">
        <v>3</v>
      </c>
      <c r="CB96" s="11" t="n">
        <v>8812.030000000001</v>
      </c>
      <c r="CC96" s="11" t="n">
        <v>2631.05</v>
      </c>
      <c r="CD96" t="n">
        <v>7</v>
      </c>
      <c r="CE96" s="11" t="n">
        <v>5557.69</v>
      </c>
      <c r="CF96" s="11" t="n">
        <v>3577.64</v>
      </c>
      <c r="CG96" t="n">
        <v>9</v>
      </c>
      <c r="CH96" s="11" t="n">
        <v>7428.81</v>
      </c>
      <c r="CI96" s="11" t="n">
        <v>652.77</v>
      </c>
      <c r="CJ96" t="n">
        <v>9</v>
      </c>
      <c r="CK96" s="11" t="n">
        <v>8784.43</v>
      </c>
      <c r="CL96" s="11" t="n">
        <v>1684.96</v>
      </c>
      <c r="CM96" t="n">
        <v>3</v>
      </c>
      <c r="CN96" s="11" t="n">
        <v>4270.62</v>
      </c>
      <c r="CO96" s="11" t="n">
        <v>696.42</v>
      </c>
      <c r="CP96" t="n">
        <v>7</v>
      </c>
      <c r="CQ96" s="11" t="n">
        <v>3105.83</v>
      </c>
      <c r="CR96" s="11" t="n">
        <v>2046.05</v>
      </c>
      <c r="CS96" t="n">
        <v>8</v>
      </c>
      <c r="CT96" s="11" t="n">
        <v>5477.09</v>
      </c>
      <c r="CU96" s="11" t="n">
        <v>3664.54</v>
      </c>
      <c r="CV96" t="n">
        <v>7</v>
      </c>
      <c r="CW96" s="11" t="n">
        <v>8394.41</v>
      </c>
      <c r="CX96" s="11" t="n">
        <v>3406.65</v>
      </c>
      <c r="CY96" t="n">
        <v>8</v>
      </c>
      <c r="CZ96" s="11" t="n">
        <v>3636.75</v>
      </c>
      <c r="DA96" s="11" t="n">
        <v>587.59</v>
      </c>
      <c r="DB96" t="n">
        <v>8</v>
      </c>
      <c r="DC96" s="11" t="n">
        <v>7086.19</v>
      </c>
      <c r="DD96" s="11" t="n">
        <v>3598.95</v>
      </c>
      <c r="DE96" t="n">
        <v>8</v>
      </c>
      <c r="DF96" s="11" t="n">
        <v>3484.74</v>
      </c>
      <c r="DG96" s="11" t="n">
        <v>2738.23</v>
      </c>
      <c r="DH96" t="n">
        <v>7</v>
      </c>
      <c r="DI96" s="11" t="n">
        <v>4266.4</v>
      </c>
      <c r="DJ96" s="11" t="n">
        <v>1109.86</v>
      </c>
      <c r="DK96" t="n">
        <v>3</v>
      </c>
      <c r="DL96" s="11" t="n">
        <v>4254.78</v>
      </c>
      <c r="DM96" s="11" t="n">
        <v>1019.17</v>
      </c>
      <c r="DO96" s="11" t="n"/>
      <c r="DP96" s="11" t="n"/>
      <c r="DR96" s="11" t="n"/>
      <c r="DS96" s="11" t="n"/>
      <c r="DU96" s="11" t="n"/>
      <c r="DV96" s="11" t="n"/>
      <c r="DX96" s="11" t="n"/>
      <c r="DY96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10" customWidth="1" min="4" max="4"/>
    <col hidden="1" outlineLevel="1" width="13" customWidth="1" min="5" max="20"/>
  </cols>
  <sheetData>
    <row r="1">
      <c r="A1" s="1" t="inlineStr">
        <is>
          <t>Análise detalhada — dia N fica na linha N+4</t>
        </is>
      </c>
    </row>
    <row r="4" ht="45" customHeight="1">
      <c r="A4" s="5" t="inlineStr">
        <is>
          <t>Dia</t>
        </is>
      </c>
      <c r="B4" s="5" t="inlineStr">
        <is>
          <t>Data</t>
        </is>
      </c>
      <c r="C4" s="5" t="inlineStr">
        <is>
          <t>UH's ocupadas</t>
        </is>
      </c>
      <c r="D4" s="5" t="inlineStr">
        <is>
          <t>Ocupação</t>
        </is>
      </c>
      <c r="U4" s="5" t="inlineStr">
        <is>
          <t>Permanência estendida</t>
        </is>
      </c>
      <c r="V4" s="5" t="inlineStr">
        <is>
          <t>Day use</t>
        </is>
      </c>
      <c r="W4" s="5" t="inlineStr">
        <is>
          <t>No show</t>
        </is>
      </c>
      <c r="X4" s="5" t="inlineStr">
        <is>
          <t>Saída antecipada</t>
        </is>
      </c>
      <c r="Y4" s="5" t="inlineStr">
        <is>
          <t>(manual)</t>
        </is>
      </c>
      <c r="Z4" s="5" t="inlineStr">
        <is>
          <t>(manual)</t>
        </is>
      </c>
      <c r="AA4" s="5" t="inlineStr">
        <is>
          <t>Reservas do dia para o dia</t>
        </is>
      </c>
      <c r="AB4" s="5" t="inlineStr">
        <is>
          <t>Check-ins realizados</t>
        </is>
      </c>
      <c r="AC4" s="5" t="inlineStr">
        <is>
          <t>Check-outs realizados</t>
        </is>
      </c>
      <c r="AD4" s="5" t="inlineStr">
        <is>
          <t>Ocupados grupos</t>
        </is>
      </c>
    </row>
    <row r="5">
      <c r="A5" t="n">
        <v>1</v>
      </c>
      <c r="B5" s="14">
        <f>DATE(2026,9,A5)</f>
        <v/>
      </c>
      <c r="C5">
        <f>'Lanç. Estatístico'!B9</f>
        <v/>
      </c>
      <c r="D5" s="15">
        <f>IF('Lanç. Estatístico'!B5=0,0,'Lanç. Estatístico'!B9/'Lanç. Estatístico'!B5)</f>
        <v/>
      </c>
      <c r="U5" t="n">
        <v>0</v>
      </c>
      <c r="V5" t="n">
        <v>2</v>
      </c>
      <c r="W5" t="n">
        <v>2</v>
      </c>
      <c r="X5" t="n">
        <v>0</v>
      </c>
      <c r="AB5" t="n">
        <v>11</v>
      </c>
      <c r="AC5" t="n">
        <v>13</v>
      </c>
      <c r="AD5" t="n">
        <v>0</v>
      </c>
    </row>
    <row r="6">
      <c r="A6" t="n">
        <v>2</v>
      </c>
      <c r="B6" s="14">
        <f>DATE(2026,9,A6)</f>
        <v/>
      </c>
      <c r="C6">
        <f>'Lanç. Estatístico'!C9</f>
        <v/>
      </c>
      <c r="D6" s="15">
        <f>IF('Lanç. Estatístico'!C5=0,0,'Lanç. Estatístico'!C9/'Lanç. Estatístico'!C5)</f>
        <v/>
      </c>
      <c r="U6" t="n">
        <v>0</v>
      </c>
      <c r="V6" t="n">
        <v>2</v>
      </c>
      <c r="W6" t="n">
        <v>0</v>
      </c>
      <c r="X6" t="n">
        <v>0</v>
      </c>
      <c r="AB6" t="n">
        <v>7</v>
      </c>
      <c r="AC6" t="n">
        <v>12</v>
      </c>
      <c r="AD6" t="n">
        <v>0</v>
      </c>
    </row>
    <row r="7">
      <c r="A7" t="n">
        <v>3</v>
      </c>
      <c r="B7" s="14">
        <f>DATE(2026,9,A7)</f>
        <v/>
      </c>
      <c r="C7">
        <f>'Lanç. Estatístico'!D9</f>
        <v/>
      </c>
      <c r="D7" s="15">
        <f>IF('Lanç. Estatístico'!D5=0,0,'Lanç. Estatístico'!D9/'Lanç. Estatístico'!D5)</f>
        <v/>
      </c>
      <c r="U7" t="n">
        <v>0</v>
      </c>
      <c r="V7" t="n">
        <v>1</v>
      </c>
      <c r="W7" t="n">
        <v>1</v>
      </c>
      <c r="X7" t="n">
        <v>0</v>
      </c>
      <c r="AB7" t="n">
        <v>12</v>
      </c>
      <c r="AC7" t="n">
        <v>8</v>
      </c>
      <c r="AD7" t="n">
        <v>0</v>
      </c>
    </row>
    <row r="8">
      <c r="A8" t="n">
        <v>4</v>
      </c>
      <c r="B8" s="14">
        <f>DATE(2026,9,A8)</f>
        <v/>
      </c>
      <c r="C8">
        <f>'Lanç. Estatístico'!E9</f>
        <v/>
      </c>
      <c r="D8" s="15">
        <f>IF('Lanç. Estatístico'!E5=0,0,'Lanç. Estatístico'!E9/'Lanç. Estatístico'!E5)</f>
        <v/>
      </c>
      <c r="U8" t="n">
        <v>0</v>
      </c>
      <c r="V8" t="n">
        <v>2</v>
      </c>
      <c r="W8" t="n">
        <v>2</v>
      </c>
      <c r="X8" t="n">
        <v>0</v>
      </c>
      <c r="AB8" t="n">
        <v>6</v>
      </c>
      <c r="AC8" t="n">
        <v>11</v>
      </c>
      <c r="AD8" t="n">
        <v>0</v>
      </c>
    </row>
    <row r="9">
      <c r="A9" t="n">
        <v>5</v>
      </c>
      <c r="B9" s="14">
        <f>DATE(2026,9,A9)</f>
        <v/>
      </c>
      <c r="C9">
        <f>'Lanç. Estatístico'!F9</f>
        <v/>
      </c>
      <c r="D9" s="15">
        <f>IF('Lanç. Estatístico'!F5=0,0,'Lanç. Estatístico'!F9/'Lanç. Estatístico'!F5)</f>
        <v/>
      </c>
      <c r="U9" t="n">
        <v>0</v>
      </c>
      <c r="V9" t="n">
        <v>0</v>
      </c>
      <c r="W9" t="n">
        <v>1</v>
      </c>
      <c r="X9" t="n">
        <v>0</v>
      </c>
      <c r="AB9" t="n">
        <v>7</v>
      </c>
      <c r="AC9" t="n">
        <v>15</v>
      </c>
      <c r="AD9" t="n">
        <v>0</v>
      </c>
    </row>
    <row r="10">
      <c r="A10" t="n">
        <v>6</v>
      </c>
      <c r="B10" s="14">
        <f>DATE(2026,9,A10)</f>
        <v/>
      </c>
      <c r="C10">
        <f>'Lanç. Estatístico'!G9</f>
        <v/>
      </c>
      <c r="D10" s="15">
        <f>IF('Lanç. Estatístico'!G5=0,0,'Lanç. Estatístico'!G9/'Lanç. Estatístico'!G5)</f>
        <v/>
      </c>
      <c r="U10" t="n">
        <v>0</v>
      </c>
      <c r="V10" t="n">
        <v>1</v>
      </c>
      <c r="W10" t="n">
        <v>1</v>
      </c>
      <c r="X10" t="n">
        <v>0</v>
      </c>
      <c r="AB10" t="n">
        <v>7</v>
      </c>
      <c r="AC10" t="n">
        <v>12</v>
      </c>
      <c r="AD10" t="n">
        <v>0</v>
      </c>
    </row>
    <row r="11">
      <c r="A11" t="n">
        <v>7</v>
      </c>
      <c r="B11" s="14">
        <f>DATE(2026,9,A11)</f>
        <v/>
      </c>
      <c r="C11">
        <f>'Lanç. Estatístico'!H9</f>
        <v/>
      </c>
      <c r="D11" s="15">
        <f>IF('Lanç. Estatístico'!H5=0,0,'Lanç. Estatístico'!H9/'Lanç. Estatístico'!H5)</f>
        <v/>
      </c>
      <c r="U11" t="n">
        <v>0</v>
      </c>
      <c r="V11" t="n">
        <v>0</v>
      </c>
      <c r="W11" t="n">
        <v>1</v>
      </c>
      <c r="X11" t="n">
        <v>0</v>
      </c>
      <c r="AB11" t="n">
        <v>11</v>
      </c>
      <c r="AC11" t="n">
        <v>8</v>
      </c>
      <c r="AD11" t="n">
        <v>0</v>
      </c>
    </row>
    <row r="12">
      <c r="A12" t="n">
        <v>8</v>
      </c>
      <c r="B12" s="14">
        <f>DATE(2026,9,A12)</f>
        <v/>
      </c>
      <c r="C12">
        <f>'Lanç. Estatístico'!I9</f>
        <v/>
      </c>
      <c r="D12" s="15">
        <f>IF('Lanç. Estatístico'!I5=0,0,'Lanç. Estatístico'!I9/'Lanç. Estatístico'!I5)</f>
        <v/>
      </c>
      <c r="U12" t="n">
        <v>0</v>
      </c>
      <c r="V12" t="n">
        <v>1</v>
      </c>
      <c r="W12" t="n">
        <v>2</v>
      </c>
      <c r="X12" t="n">
        <v>0</v>
      </c>
      <c r="AB12" t="n">
        <v>15</v>
      </c>
      <c r="AC12" t="n">
        <v>11</v>
      </c>
      <c r="AD12" t="n">
        <v>0</v>
      </c>
    </row>
    <row r="13">
      <c r="A13" t="n">
        <v>9</v>
      </c>
      <c r="B13" s="14">
        <f>DATE(2026,9,A13)</f>
        <v/>
      </c>
      <c r="C13">
        <f>'Lanç. Estatístico'!J9</f>
        <v/>
      </c>
      <c r="D13" s="15">
        <f>IF('Lanç. Estatístico'!J5=0,0,'Lanç. Estatístico'!J9/'Lanç. Estatístico'!J5)</f>
        <v/>
      </c>
      <c r="U13" t="n">
        <v>0</v>
      </c>
      <c r="V13" t="n">
        <v>2</v>
      </c>
      <c r="W13" t="n">
        <v>1</v>
      </c>
      <c r="X13" t="n">
        <v>0</v>
      </c>
      <c r="AB13" t="n">
        <v>7</v>
      </c>
      <c r="AC13" t="n">
        <v>9</v>
      </c>
      <c r="AD13" t="n">
        <v>0</v>
      </c>
    </row>
    <row r="14">
      <c r="A14" t="n">
        <v>10</v>
      </c>
      <c r="B14" s="14">
        <f>DATE(2026,9,A14)</f>
        <v/>
      </c>
      <c r="C14">
        <f>'Lanç. Estatístico'!K9</f>
        <v/>
      </c>
      <c r="D14" s="15">
        <f>IF('Lanç. Estatístico'!K5=0,0,'Lanç. Estatístico'!K9/'Lanç. Estatístico'!K5)</f>
        <v/>
      </c>
      <c r="U14" t="n">
        <v>0</v>
      </c>
      <c r="V14" t="n">
        <v>1</v>
      </c>
      <c r="W14" t="n">
        <v>1</v>
      </c>
      <c r="X14" t="n">
        <v>0</v>
      </c>
      <c r="AB14" t="n">
        <v>7</v>
      </c>
      <c r="AC14" t="n">
        <v>15</v>
      </c>
      <c r="AD14" t="n">
        <v>0</v>
      </c>
    </row>
    <row r="15">
      <c r="A15" t="n">
        <v>11</v>
      </c>
      <c r="B15" s="14">
        <f>DATE(2026,9,A15)</f>
        <v/>
      </c>
      <c r="C15">
        <f>'Lanç. Estatístico'!L9</f>
        <v/>
      </c>
      <c r="D15" s="15">
        <f>IF('Lanç. Estatístico'!L5=0,0,'Lanç. Estatístico'!L9/'Lanç. Estatístico'!L5)</f>
        <v/>
      </c>
      <c r="U15" t="n">
        <v>0</v>
      </c>
      <c r="V15" t="n">
        <v>0</v>
      </c>
      <c r="W15" t="n">
        <v>0</v>
      </c>
      <c r="X15" t="n">
        <v>0</v>
      </c>
      <c r="AB15" t="n">
        <v>8</v>
      </c>
      <c r="AC15" t="n">
        <v>14</v>
      </c>
      <c r="AD15" t="n">
        <v>0</v>
      </c>
    </row>
    <row r="16">
      <c r="A16" t="n">
        <v>12</v>
      </c>
      <c r="B16" s="14">
        <f>DATE(2026,9,A16)</f>
        <v/>
      </c>
      <c r="C16">
        <f>'Lanç. Estatístico'!M9</f>
        <v/>
      </c>
      <c r="D16" s="15">
        <f>IF('Lanç. Estatístico'!M5=0,0,'Lanç. Estatístico'!M9/'Lanç. Estatístico'!M5)</f>
        <v/>
      </c>
      <c r="U16" t="n">
        <v>0</v>
      </c>
      <c r="V16" t="n">
        <v>0</v>
      </c>
      <c r="W16" t="n">
        <v>0</v>
      </c>
      <c r="X16" t="n">
        <v>0</v>
      </c>
      <c r="AB16" t="n">
        <v>6</v>
      </c>
      <c r="AC16" t="n">
        <v>8</v>
      </c>
      <c r="AD16" t="n">
        <v>0</v>
      </c>
    </row>
    <row r="17">
      <c r="A17" t="n">
        <v>13</v>
      </c>
      <c r="B17" s="14">
        <f>DATE(2026,9,A17)</f>
        <v/>
      </c>
      <c r="C17">
        <f>'Lanç. Estatístico'!N9</f>
        <v/>
      </c>
      <c r="D17" s="15">
        <f>IF('Lanç. Estatístico'!N5=0,0,'Lanç. Estatístico'!N9/'Lanç. Estatístico'!N5)</f>
        <v/>
      </c>
      <c r="U17" t="n">
        <v>0</v>
      </c>
      <c r="V17" t="n">
        <v>2</v>
      </c>
      <c r="W17" t="n">
        <v>2</v>
      </c>
      <c r="X17" t="n">
        <v>0</v>
      </c>
      <c r="AB17" t="n">
        <v>6</v>
      </c>
      <c r="AC17" t="n">
        <v>10</v>
      </c>
      <c r="AD17" t="n">
        <v>0</v>
      </c>
    </row>
    <row r="18">
      <c r="A18" t="n">
        <v>14</v>
      </c>
      <c r="B18" s="14">
        <f>DATE(2026,9,A18)</f>
        <v/>
      </c>
      <c r="C18">
        <f>'Lanç. Estatístico'!O9</f>
        <v/>
      </c>
      <c r="D18" s="15">
        <f>IF('Lanç. Estatístico'!O5=0,0,'Lanç. Estatístico'!O9/'Lanç. Estatístico'!O5)</f>
        <v/>
      </c>
      <c r="U18" t="n">
        <v>0</v>
      </c>
      <c r="V18" t="n">
        <v>2</v>
      </c>
      <c r="W18" t="n">
        <v>0</v>
      </c>
      <c r="X18" t="n">
        <v>0</v>
      </c>
      <c r="AB18" t="n">
        <v>13</v>
      </c>
      <c r="AC18" t="n">
        <v>7</v>
      </c>
      <c r="AD18" t="n">
        <v>0</v>
      </c>
    </row>
    <row r="19">
      <c r="A19" t="n">
        <v>15</v>
      </c>
      <c r="B19" s="14">
        <f>DATE(2026,9,A19)</f>
        <v/>
      </c>
      <c r="C19">
        <f>'Lanç. Estatístico'!P9</f>
        <v/>
      </c>
      <c r="D19" s="15">
        <f>IF('Lanç. Estatístico'!P5=0,0,'Lanç. Estatístico'!P9/'Lanç. Estatístico'!P5)</f>
        <v/>
      </c>
      <c r="U19" t="n">
        <v>0</v>
      </c>
      <c r="V19" t="n">
        <v>0</v>
      </c>
      <c r="W19" t="n">
        <v>2</v>
      </c>
      <c r="X19" t="n">
        <v>0</v>
      </c>
      <c r="AB19" t="n">
        <v>8</v>
      </c>
      <c r="AC19" t="n">
        <v>10</v>
      </c>
      <c r="AD19" t="n">
        <v>0</v>
      </c>
    </row>
    <row r="20">
      <c r="A20" t="n">
        <v>16</v>
      </c>
      <c r="B20" s="14">
        <f>DATE(2026,9,A20)</f>
        <v/>
      </c>
      <c r="C20">
        <f>'Lanç. Estatístico'!Q9</f>
        <v/>
      </c>
      <c r="D20" s="15">
        <f>IF('Lanç. Estatístico'!Q5=0,0,'Lanç. Estatístico'!Q9/'Lanç. Estatístico'!Q5)</f>
        <v/>
      </c>
      <c r="U20" t="n">
        <v>0</v>
      </c>
      <c r="V20" t="n">
        <v>0</v>
      </c>
      <c r="W20" t="n">
        <v>1</v>
      </c>
      <c r="X20" t="n">
        <v>0</v>
      </c>
      <c r="AB20" t="n">
        <v>12</v>
      </c>
      <c r="AC20" t="n">
        <v>11</v>
      </c>
      <c r="AD20" t="n">
        <v>0</v>
      </c>
    </row>
    <row r="21">
      <c r="A21" t="n">
        <v>17</v>
      </c>
      <c r="B21" s="14">
        <f>DATE(2026,9,A21)</f>
        <v/>
      </c>
      <c r="C21">
        <f>'Lanç. Estatístico'!R9</f>
        <v/>
      </c>
      <c r="D21" s="15">
        <f>IF('Lanç. Estatístico'!R5=0,0,'Lanç. Estatístico'!R9/'Lanç. Estatístico'!R5)</f>
        <v/>
      </c>
      <c r="U21" t="n">
        <v>0</v>
      </c>
      <c r="V21" t="n">
        <v>2</v>
      </c>
      <c r="W21" t="n">
        <v>1</v>
      </c>
      <c r="X21" t="n">
        <v>0</v>
      </c>
      <c r="AB21" t="n">
        <v>12</v>
      </c>
      <c r="AC21" t="n">
        <v>12</v>
      </c>
      <c r="AD21" t="n">
        <v>0</v>
      </c>
    </row>
    <row r="22">
      <c r="A22" t="n">
        <v>18</v>
      </c>
      <c r="B22" s="14">
        <f>DATE(2026,9,A22)</f>
        <v/>
      </c>
      <c r="C22">
        <f>'Lanç. Estatístico'!S9</f>
        <v/>
      </c>
      <c r="D22" s="15">
        <f>IF('Lanç. Estatístico'!S5=0,0,'Lanç. Estatístico'!S9/'Lanç. Estatístico'!S5)</f>
        <v/>
      </c>
      <c r="U22" t="n">
        <v>0</v>
      </c>
      <c r="V22" t="n">
        <v>2</v>
      </c>
      <c r="W22" t="n">
        <v>1</v>
      </c>
      <c r="X22" t="n">
        <v>0</v>
      </c>
      <c r="AB22" t="n">
        <v>7</v>
      </c>
      <c r="AC22" t="n">
        <v>11</v>
      </c>
      <c r="AD22" t="n">
        <v>0</v>
      </c>
    </row>
    <row r="23">
      <c r="A23" t="n">
        <v>19</v>
      </c>
      <c r="B23" s="14">
        <f>DATE(2026,9,A23)</f>
        <v/>
      </c>
      <c r="C23">
        <f>'Lanç. Estatístico'!T9</f>
        <v/>
      </c>
      <c r="D23" s="15">
        <f>IF('Lanç. Estatístico'!T5=0,0,'Lanç. Estatístico'!T9/'Lanç. Estatístico'!T5)</f>
        <v/>
      </c>
      <c r="U23" t="n">
        <v>0</v>
      </c>
      <c r="V23" t="n">
        <v>1</v>
      </c>
      <c r="W23" t="n">
        <v>1</v>
      </c>
      <c r="X23" t="n">
        <v>0</v>
      </c>
      <c r="AB23" t="n">
        <v>12</v>
      </c>
      <c r="AC23" t="n">
        <v>8</v>
      </c>
      <c r="AD23" t="n">
        <v>0</v>
      </c>
    </row>
    <row r="24">
      <c r="A24" t="n">
        <v>20</v>
      </c>
      <c r="B24" s="14">
        <f>DATE(2026,9,A24)</f>
        <v/>
      </c>
      <c r="C24">
        <f>'Lanç. Estatístico'!U9</f>
        <v/>
      </c>
      <c r="D24" s="15">
        <f>IF('Lanç. Estatístico'!U5=0,0,'Lanç. Estatístico'!U9/'Lanç. Estatístico'!U5)</f>
        <v/>
      </c>
      <c r="U24" t="n">
        <v>0</v>
      </c>
      <c r="V24" t="n">
        <v>1</v>
      </c>
      <c r="W24" t="n">
        <v>2</v>
      </c>
      <c r="X24" t="n">
        <v>0</v>
      </c>
      <c r="AB24" t="n">
        <v>10</v>
      </c>
      <c r="AC24" t="n">
        <v>12</v>
      </c>
      <c r="AD24" t="n">
        <v>0</v>
      </c>
    </row>
    <row r="25">
      <c r="A25" t="n">
        <v>21</v>
      </c>
      <c r="B25" s="14">
        <f>DATE(2026,9,A25)</f>
        <v/>
      </c>
      <c r="C25">
        <f>'Lanç. Estatístico'!V9</f>
        <v/>
      </c>
      <c r="D25" s="15">
        <f>IF('Lanç. Estatístico'!V5=0,0,'Lanç. Estatístico'!V9/'Lanç. Estatístico'!V5)</f>
        <v/>
      </c>
      <c r="U25" t="n">
        <v>0</v>
      </c>
      <c r="V25" t="n">
        <v>1</v>
      </c>
      <c r="W25" t="n">
        <v>0</v>
      </c>
      <c r="X25" t="n">
        <v>0</v>
      </c>
      <c r="AB25" t="n">
        <v>15</v>
      </c>
      <c r="AC25" t="n">
        <v>11</v>
      </c>
      <c r="AD25" t="n">
        <v>0</v>
      </c>
    </row>
    <row r="26">
      <c r="A26" t="n">
        <v>22</v>
      </c>
      <c r="B26" s="14">
        <f>DATE(2026,9,A26)</f>
        <v/>
      </c>
      <c r="C26">
        <f>'Lanç. Estatístico'!W9</f>
        <v/>
      </c>
      <c r="D26" s="15">
        <f>IF('Lanç. Estatístico'!W5=0,0,'Lanç. Estatístico'!W9/'Lanç. Estatístico'!W5)</f>
        <v/>
      </c>
      <c r="U26" t="n">
        <v>0</v>
      </c>
      <c r="V26" t="n">
        <v>1</v>
      </c>
      <c r="W26" t="n">
        <v>1</v>
      </c>
      <c r="X26" t="n">
        <v>0</v>
      </c>
      <c r="AB26" t="n">
        <v>10</v>
      </c>
      <c r="AC26" t="n">
        <v>11</v>
      </c>
      <c r="AD26" t="n">
        <v>0</v>
      </c>
    </row>
    <row r="27">
      <c r="A27" t="n">
        <v>23</v>
      </c>
      <c r="B27" s="14">
        <f>DATE(2026,9,A27)</f>
        <v/>
      </c>
      <c r="C27">
        <f>'Lanç. Estatístico'!X9</f>
        <v/>
      </c>
      <c r="D27" s="15">
        <f>IF('Lanç. Estatístico'!X5=0,0,'Lanç. Estatístico'!X9/'Lanç. Estatístico'!X5)</f>
        <v/>
      </c>
      <c r="U27" t="n">
        <v>0</v>
      </c>
      <c r="V27" t="n">
        <v>2</v>
      </c>
      <c r="W27" t="n">
        <v>1</v>
      </c>
      <c r="X27" t="n">
        <v>0</v>
      </c>
      <c r="AB27" t="n">
        <v>15</v>
      </c>
      <c r="AC27" t="n">
        <v>9</v>
      </c>
      <c r="AD27" t="n">
        <v>0</v>
      </c>
    </row>
    <row r="28">
      <c r="A28" t="n">
        <v>24</v>
      </c>
      <c r="B28" s="14">
        <f>DATE(2026,9,A28)</f>
        <v/>
      </c>
      <c r="C28">
        <f>'Lanç. Estatístico'!Y9</f>
        <v/>
      </c>
      <c r="D28" s="15">
        <f>IF('Lanç. Estatístico'!Y5=0,0,'Lanç. Estatístico'!Y9/'Lanç. Estatístico'!Y5)</f>
        <v/>
      </c>
      <c r="U28" t="n">
        <v>0</v>
      </c>
      <c r="V28" t="n">
        <v>2</v>
      </c>
      <c r="W28" t="n">
        <v>0</v>
      </c>
      <c r="X28" t="n">
        <v>0</v>
      </c>
      <c r="AB28" t="n">
        <v>13</v>
      </c>
      <c r="AC28" t="n">
        <v>15</v>
      </c>
      <c r="AD28" t="n">
        <v>0</v>
      </c>
    </row>
    <row r="29">
      <c r="A29" t="n">
        <v>25</v>
      </c>
      <c r="B29" s="14">
        <f>DATE(2026,9,A29)</f>
        <v/>
      </c>
      <c r="C29">
        <f>'Lanç. Estatístico'!Z9</f>
        <v/>
      </c>
      <c r="D29" s="15">
        <f>IF('Lanç. Estatístico'!Z5=0,0,'Lanç. Estatístico'!Z9/'Lanç. Estatístico'!Z5)</f>
        <v/>
      </c>
      <c r="U29" t="n">
        <v>0</v>
      </c>
      <c r="V29" t="n">
        <v>0</v>
      </c>
      <c r="W29" t="n">
        <v>0</v>
      </c>
      <c r="X29" t="n">
        <v>0</v>
      </c>
      <c r="AB29" t="n">
        <v>11</v>
      </c>
      <c r="AC29" t="n">
        <v>9</v>
      </c>
      <c r="AD29" t="n">
        <v>0</v>
      </c>
    </row>
    <row r="30">
      <c r="A30" t="n">
        <v>26</v>
      </c>
      <c r="B30" s="14">
        <f>DATE(2026,9,A30)</f>
        <v/>
      </c>
      <c r="C30">
        <f>'Lanç. Estatístico'!AA9</f>
        <v/>
      </c>
      <c r="D30" s="15">
        <f>IF('Lanç. Estatístico'!AA5=0,0,'Lanç. Estatístico'!AA9/'Lanç. Estatístico'!AA5)</f>
        <v/>
      </c>
      <c r="U30" t="n">
        <v>0</v>
      </c>
      <c r="V30" t="n">
        <v>0</v>
      </c>
      <c r="W30" t="n">
        <v>0</v>
      </c>
      <c r="X30" t="n">
        <v>0</v>
      </c>
      <c r="AB30" t="n">
        <v>12</v>
      </c>
      <c r="AC30" t="n">
        <v>14</v>
      </c>
      <c r="AD30" t="n">
        <v>0</v>
      </c>
    </row>
    <row r="31">
      <c r="A31" t="n">
        <v>27</v>
      </c>
      <c r="B31" s="14">
        <f>DATE(2026,9,A31)</f>
        <v/>
      </c>
      <c r="C31">
        <f>'Lanç. Estatístico'!AB9</f>
        <v/>
      </c>
      <c r="D31" s="15">
        <f>IF('Lanç. Estatístico'!AB5=0,0,'Lanç. Estatístico'!AB9/'Lanç. Estatístico'!AB5)</f>
        <v/>
      </c>
      <c r="U31" t="n">
        <v>0</v>
      </c>
      <c r="V31" t="n">
        <v>0</v>
      </c>
      <c r="W31" t="n">
        <v>1</v>
      </c>
      <c r="X31" t="n">
        <v>0</v>
      </c>
      <c r="AB31" t="n">
        <v>15</v>
      </c>
      <c r="AC31" t="n">
        <v>15</v>
      </c>
      <c r="AD31" t="n">
        <v>0</v>
      </c>
    </row>
    <row r="32">
      <c r="A32" t="n">
        <v>28</v>
      </c>
      <c r="B32" s="14">
        <f>DATE(2026,9,A32)</f>
        <v/>
      </c>
      <c r="C32">
        <f>'Lanç. Estatístico'!AC9</f>
        <v/>
      </c>
      <c r="D32" s="15">
        <f>IF('Lanç. Estatístico'!AC5=0,0,'Lanç. Estatístico'!AC9/'Lanç. Estatístico'!AC5)</f>
        <v/>
      </c>
    </row>
    <row r="33">
      <c r="A33" t="n">
        <v>29</v>
      </c>
      <c r="B33" s="14">
        <f>DATE(2026,9,A33)</f>
        <v/>
      </c>
      <c r="C33">
        <f>'Lanç. Estatístico'!AD9</f>
        <v/>
      </c>
      <c r="D33" s="15">
        <f>IF('Lanç. Estatístico'!AD5=0,0,'Lanç. Estatístico'!AD9/'Lanç. Estatístico'!AD5)</f>
        <v/>
      </c>
    </row>
    <row r="34">
      <c r="A34" t="n">
        <v>30</v>
      </c>
      <c r="B34" s="14">
        <f>DATE(2026,9,A34)</f>
        <v/>
      </c>
      <c r="C34">
        <f>'Lanç. Estatístico'!AE9</f>
        <v/>
      </c>
      <c r="D34" s="15">
        <f>IF('Lanç. Estatístico'!AE5=0,0,'Lanç. Estatístico'!AE9/'Lanç. Estatístico'!AE5)</f>
        <v/>
      </c>
    </row>
    <row r="35">
      <c r="A35" t="n">
        <v>31</v>
      </c>
      <c r="B35" s="14">
        <f>DATE(2026,9,A35)</f>
        <v/>
      </c>
      <c r="C35">
        <f>'Lanç. Estatístico'!AF9</f>
        <v/>
      </c>
      <c r="D35" s="15">
        <f>IF('Lanç. Estatístico'!AF5=0,0,'Lanç. Estatístico'!AF9/'Lanç. Estatístico'!AF5)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2026-09-29T04:54:14Z</dcterms:created>
  <dcterms:modified xmlns:dcterms="http://purl.org/dc/terms/" xmlns:xsi="http://www.w3.org/2001/XMLSchema-instance" xsi:type="dcterms:W3CDTF">2026-09-29T04:54:14Z</dcterms:modified>
</cp:coreProperties>
</file>