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  <sheet xmlns:r="http://schemas.openxmlformats.org/officeDocument/2006/relationships" name="Coma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i val="1"/>
      <color rgb="007F7F7F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pivotButton="0" quotePrefix="0" xfId="0"/>
    <xf numFmtId="0" fontId="5" fillId="4" borderId="0" pivotButton="0" quotePrefix="0" xfId="0"/>
    <xf numFmtId="165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18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  <col width="15" customWidth="1" min="12" max="12"/>
    <col width="13" customWidth="1" min="13" max="13"/>
    <col width="12" customWidth="1" min="14" max="14"/>
  </cols>
  <sheetData>
    <row r="2">
      <c r="B2" s="1" t="inlineStr">
        <is>
          <t>Controle de Cartões — modelo de demonstração</t>
        </is>
      </c>
    </row>
    <row r="3">
      <c r="B3" s="2" t="n"/>
      <c r="C3" s="3" t="inlineStr">
        <is>
          <t>← data da auditoria (preenchida pelo script)</t>
        </is>
      </c>
    </row>
    <row r="5" ht="32" customHeight="1">
      <c r="B5" s="4" t="inlineStr">
        <is>
          <t>Bandeira</t>
        </is>
      </c>
      <c r="C5" s="4" t="inlineStr">
        <is>
          <t>Total relatório</t>
        </is>
      </c>
      <c r="D5" s="4" t="inlineStr">
        <is>
          <t>POS 1</t>
        </is>
      </c>
      <c r="E5" s="4" t="inlineStr">
        <is>
          <t>Cancel. POS 1</t>
        </is>
      </c>
      <c r="F5" s="4" t="inlineStr">
        <is>
          <t>POS 2</t>
        </is>
      </c>
      <c r="G5" s="4" t="inlineStr">
        <is>
          <t>Cancel. POS 2</t>
        </is>
      </c>
      <c r="H5" s="4" t="inlineStr">
        <is>
          <t>POS 3</t>
        </is>
      </c>
      <c r="I5" s="4" t="inlineStr">
        <is>
          <t>Cancel. POS 3</t>
        </is>
      </c>
      <c r="J5" s="4" t="inlineStr">
        <is>
          <t>Online (BEE2PAY / B2B / LINK)</t>
        </is>
      </c>
      <c r="K5" s="4" t="inlineStr">
        <is>
          <t>Cancel. online</t>
        </is>
      </c>
      <c r="L5" s="4" t="inlineStr">
        <is>
          <t>Total fechamentos</t>
        </is>
      </c>
      <c r="M5" s="4" t="inlineStr">
        <is>
          <t>Diferença</t>
        </is>
      </c>
      <c r="N5" s="4" t="inlineStr">
        <is>
          <t>Status</t>
        </is>
      </c>
    </row>
    <row r="6">
      <c r="B6" s="5" t="inlineStr">
        <is>
          <t>AMEX</t>
        </is>
      </c>
      <c r="C6" s="6">
        <f>ROUND(SUMIFS(Comandas!$K:$K,Comandas!$H:$H,$B6),2)</f>
        <v/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6">
        <f>ROUND(SUMIFS(Comandas!$K:$K,Comandas!$H:$H,$B6,Comandas!$I:$I,"ONLINE"),2)</f>
        <v/>
      </c>
      <c r="K6" s="7" t="n">
        <v>0</v>
      </c>
      <c r="L6" s="6">
        <f>SUM(D6:K6)</f>
        <v/>
      </c>
      <c r="M6" s="6">
        <f>L6-C6</f>
        <v/>
      </c>
      <c r="N6" s="8">
        <f>IF(ROUND(M6,2)=0,"OK","Justificar")</f>
        <v/>
      </c>
    </row>
    <row r="7">
      <c r="B7" s="5" t="inlineStr">
        <is>
          <t>MASTERCARD DÉBITO</t>
        </is>
      </c>
      <c r="C7" s="6">
        <f>ROUND(SUMIFS(Comandas!$K:$K,Comandas!$H:$H,$B7),2)</f>
        <v/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6">
        <f>ROUND(SUMIFS(Comandas!$K:$K,Comandas!$H:$H,$B7,Comandas!$I:$I,"ONLINE"),2)</f>
        <v/>
      </c>
      <c r="K7" s="7" t="n">
        <v>0</v>
      </c>
      <c r="L7" s="6">
        <f>SUM(D7:K7)</f>
        <v/>
      </c>
      <c r="M7" s="6">
        <f>L7-C7</f>
        <v/>
      </c>
      <c r="N7" s="8">
        <f>IF(ROUND(M7,2)=0,"OK","Justificar")</f>
        <v/>
      </c>
    </row>
    <row r="8">
      <c r="B8" s="5" t="inlineStr">
        <is>
          <t>MASTERCARD CRÉDITO</t>
        </is>
      </c>
      <c r="C8" s="6">
        <f>ROUND(SUMIFS(Comandas!$K:$K,Comandas!$H:$H,$B8),2)</f>
        <v/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6">
        <f>ROUND(SUMIFS(Comandas!$K:$K,Comandas!$H:$H,$B8,Comandas!$I:$I,"ONLINE"),2)</f>
        <v/>
      </c>
      <c r="K8" s="7" t="n">
        <v>0</v>
      </c>
      <c r="L8" s="6">
        <f>SUM(D8:K8)</f>
        <v/>
      </c>
      <c r="M8" s="6">
        <f>L8-C8</f>
        <v/>
      </c>
      <c r="N8" s="8">
        <f>IF(ROUND(M8,2)=0,"OK","Justificar")</f>
        <v/>
      </c>
    </row>
    <row r="9">
      <c r="B9" s="5" t="inlineStr">
        <is>
          <t>VISA DÉBITO</t>
        </is>
      </c>
      <c r="C9" s="6">
        <f>ROUND(SUMIFS(Comandas!$K:$K,Comandas!$H:$H,$B9),2)</f>
        <v/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6">
        <f>ROUND(SUMIFS(Comandas!$K:$K,Comandas!$H:$H,$B9,Comandas!$I:$I,"ONLINE"),2)</f>
        <v/>
      </c>
      <c r="K9" s="7" t="n">
        <v>0</v>
      </c>
      <c r="L9" s="6">
        <f>SUM(D9:K9)</f>
        <v/>
      </c>
      <c r="M9" s="6">
        <f>L9-C9</f>
        <v/>
      </c>
      <c r="N9" s="8">
        <f>IF(ROUND(M9,2)=0,"OK","Justificar")</f>
        <v/>
      </c>
    </row>
    <row r="10">
      <c r="B10" s="5" t="inlineStr">
        <is>
          <t>VISA CRÉDITO</t>
        </is>
      </c>
      <c r="C10" s="6">
        <f>ROUND(SUMIFS(Comandas!$K:$K,Comandas!$H:$H,$B10),2)</f>
        <v/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6">
        <f>ROUND(SUMIFS(Comandas!$K:$K,Comandas!$H:$H,$B10,Comandas!$I:$I,"ONLINE"),2)</f>
        <v/>
      </c>
      <c r="K10" s="7" t="n">
        <v>0</v>
      </c>
      <c r="L10" s="6">
        <f>SUM(D10:K10)</f>
        <v/>
      </c>
      <c r="M10" s="6">
        <f>L10-C10</f>
        <v/>
      </c>
      <c r="N10" s="8">
        <f>IF(ROUND(M10,2)=0,"OK","Justificar")</f>
        <v/>
      </c>
    </row>
    <row r="11">
      <c r="B11" s="5" t="inlineStr">
        <is>
          <t>ELO CRÉDITO</t>
        </is>
      </c>
      <c r="C11" s="6">
        <f>ROUND(SUMIFS(Comandas!$K:$K,Comandas!$H:$H,$B11),2)</f>
        <v/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6">
        <f>ROUND(SUMIFS(Comandas!$K:$K,Comandas!$H:$H,$B11,Comandas!$I:$I,"ONLINE"),2)</f>
        <v/>
      </c>
      <c r="K11" s="7" t="n">
        <v>0</v>
      </c>
      <c r="L11" s="6">
        <f>SUM(D11:K11)</f>
        <v/>
      </c>
      <c r="M11" s="6">
        <f>L11-C11</f>
        <v/>
      </c>
      <c r="N11" s="8">
        <f>IF(ROUND(M11,2)=0,"OK","Justificar")</f>
        <v/>
      </c>
    </row>
    <row r="12">
      <c r="B12" s="5" t="inlineStr">
        <is>
          <t>ELO DÉBITO</t>
        </is>
      </c>
      <c r="C12" s="6">
        <f>ROUND(SUMIFS(Comandas!$K:$K,Comandas!$H:$H,$B12),2)</f>
        <v/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6">
        <f>ROUND(SUMIFS(Comandas!$K:$K,Comandas!$H:$H,$B12,Comandas!$I:$I,"ONLINE"),2)</f>
        <v/>
      </c>
      <c r="K12" s="7" t="n">
        <v>0</v>
      </c>
      <c r="L12" s="6">
        <f>SUM(D12:K12)</f>
        <v/>
      </c>
      <c r="M12" s="6">
        <f>L12-C12</f>
        <v/>
      </c>
      <c r="N12" s="8">
        <f>IF(ROUND(M12,2)=0,"OK","Justificar")</f>
        <v/>
      </c>
    </row>
    <row r="13">
      <c r="B13" s="5" t="inlineStr">
        <is>
          <t>PIX</t>
        </is>
      </c>
      <c r="C13" s="6">
        <f>ROUND(SUMIFS(Comandas!$K:$K,Comandas!$H:$H,$B13),2)</f>
        <v/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6">
        <f>ROUND(SUMIFS(Comandas!$K:$K,Comandas!$H:$H,$B13,Comandas!$I:$I,"ONLINE"),2)</f>
        <v/>
      </c>
      <c r="K13" s="7" t="n">
        <v>0</v>
      </c>
      <c r="L13" s="6">
        <f>SUM(D13:K13)</f>
        <v/>
      </c>
      <c r="M13" s="6">
        <f>L13-C13</f>
        <v/>
      </c>
      <c r="N13" s="8">
        <f>IF(ROUND(M13,2)=0,"OK","Justificar")</f>
        <v/>
      </c>
    </row>
    <row r="14">
      <c r="B14" s="5" t="inlineStr">
        <is>
          <t>DINERS</t>
        </is>
      </c>
      <c r="C14" s="6">
        <f>ROUND(SUMIFS(Comandas!$K:$K,Comandas!$H:$H,$B14),2)</f>
        <v/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6">
        <f>ROUND(SUMIFS(Comandas!$K:$K,Comandas!$H:$H,$B14,Comandas!$I:$I,"ONLINE"),2)</f>
        <v/>
      </c>
      <c r="K14" s="7" t="n">
        <v>0</v>
      </c>
      <c r="L14" s="6">
        <f>SUM(D14:K14)</f>
        <v/>
      </c>
      <c r="M14" s="6">
        <f>L14-C14</f>
        <v/>
      </c>
      <c r="N14" s="8">
        <f>IF(ROUND(M14,2)=0,"OK","Justificar")</f>
        <v/>
      </c>
    </row>
    <row r="15">
      <c r="B15" s="9" t="inlineStr">
        <is>
          <t>TOTAIS</t>
        </is>
      </c>
      <c r="C15" s="10">
        <f>SUM(C6:C14)</f>
        <v/>
      </c>
      <c r="D15" s="10">
        <f>SUM(D6:D14)</f>
        <v/>
      </c>
      <c r="E15" s="10">
        <f>SUM(E6:E14)</f>
        <v/>
      </c>
      <c r="F15" s="10">
        <f>SUM(F6:F14)</f>
        <v/>
      </c>
      <c r="G15" s="10">
        <f>SUM(G6:G14)</f>
        <v/>
      </c>
      <c r="H15" s="10">
        <f>SUM(H6:H14)</f>
        <v/>
      </c>
      <c r="I15" s="10">
        <f>SUM(I6:I14)</f>
        <v/>
      </c>
      <c r="J15" s="10">
        <f>SUM(J6:J14)</f>
        <v/>
      </c>
      <c r="K15" s="10">
        <f>SUM(K6:K14)</f>
        <v/>
      </c>
      <c r="L15" s="10">
        <f>SUM(L6:L14)</f>
        <v/>
      </c>
      <c r="M15" s="10">
        <f>SUM(M6:M14)</f>
        <v/>
      </c>
    </row>
    <row r="17">
      <c r="B17" s="3" t="inlineStr">
        <is>
          <t>Células amarelas: fechamento de cada maquininha, digitado pelo auditor. Total do relatório e coluna online vêm da aba Comandas.</t>
        </is>
      </c>
    </row>
    <row r="18">
      <c r="B18" s="3" t="inlineStr">
        <is>
          <t>Dados 100% fictícios, gerados por exemplos/gerar_exemplos.py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0" customWidth="1" min="4" max="4"/>
    <col width="7" customWidth="1" min="5" max="5"/>
    <col width="9" customWidth="1" min="6" max="6"/>
    <col width="24" customWidth="1" min="7" max="7"/>
    <col width="20" customWidth="1" min="8" max="8"/>
    <col width="9" customWidth="1" min="9" max="9"/>
    <col width="14" customWidth="1" min="10" max="10"/>
    <col width="12" customWidth="1" min="11" max="11"/>
    <col width="18" customWidth="1" min="12" max="12"/>
    <col width="7" customWidth="1" min="13" max="13"/>
    <col width="12" customWidth="1" min="14" max="14"/>
    <col width="22" customWidth="1" min="15" max="15"/>
  </cols>
  <sheetData>
    <row r="1">
      <c r="A1" s="4" t="inlineStr">
        <is>
          <t>Data</t>
        </is>
      </c>
      <c r="B1" s="4" t="inlineStr">
        <is>
          <t>UH</t>
        </is>
      </c>
      <c r="C1" s="4" t="inlineStr">
        <is>
          <t>Tipo UH</t>
        </is>
      </c>
      <c r="D1" s="4" t="inlineStr">
        <is>
          <t>Reserva</t>
        </is>
      </c>
      <c r="E1" s="4" t="inlineStr">
        <is>
          <t>Conta</t>
        </is>
      </c>
      <c r="F1" s="4" t="inlineStr">
        <is>
          <t>Cód. Déb.</t>
        </is>
      </c>
      <c r="G1" s="4" t="inlineStr">
        <is>
          <t>Descrição</t>
        </is>
      </c>
      <c r="H1" s="4" t="inlineStr">
        <is>
          <t>BANDEIRA</t>
        </is>
      </c>
      <c r="I1" s="4" t="inlineStr">
        <is>
          <t>CANAL</t>
        </is>
      </c>
      <c r="J1" s="4" t="inlineStr">
        <is>
          <t>Valor (relatório)</t>
        </is>
      </c>
      <c r="K1" s="4" t="inlineStr">
        <is>
          <t>Valor (+)</t>
        </is>
      </c>
      <c r="L1" s="4" t="inlineStr">
        <is>
          <t>Documento</t>
        </is>
      </c>
      <c r="M1" s="4" t="inlineStr">
        <is>
          <t>Hora</t>
        </is>
      </c>
      <c r="N1" s="4" t="inlineStr">
        <is>
          <t>Usuário</t>
        </is>
      </c>
      <c r="O1" s="4" t="inlineStr">
        <is>
          <t>Designação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2026-09-29T04:54:13Z</dcterms:created>
  <dcterms:modified xmlns:dcterms="http://purl.org/dc/terms/" xmlns:xsi="http://www.w3.org/2001/XMLSchema-instance" xsi:type="dcterms:W3CDTF">2026-09-29T04:54:13Z</dcterms:modified>
</cp:coreProperties>
</file>